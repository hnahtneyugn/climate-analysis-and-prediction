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guyenThanh\Documents\CODE\climate\climate-analysis-and-prediction\data\"/>
    </mc:Choice>
  </mc:AlternateContent>
  <xr:revisionPtr revIDLastSave="0" documentId="13_ncr:1_{537463BF-878D-4BDD-B1F9-DFB9A974F427}" xr6:coauthVersionLast="47" xr6:coauthVersionMax="47" xr10:uidLastSave="{00000000-0000-0000-0000-000000000000}"/>
  <bookViews>
    <workbookView xWindow="0" yWindow="0" windowWidth="14400" windowHeight="15750" activeTab="2" xr2:uid="{00000000-000D-0000-FFFF-FFFF00000000}"/>
  </bookViews>
  <sheets>
    <sheet name="centroids" sheetId="1" r:id="rId1"/>
    <sheet name="land_coordinates" sheetId="2" r:id="rId2"/>
    <sheet name="sea_coordin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46" i="1" l="1"/>
  <c r="O646" i="1"/>
  <c r="P636" i="1"/>
  <c r="O636" i="1"/>
  <c r="P652" i="1"/>
  <c r="O652" i="1"/>
  <c r="Q652" i="1" s="1"/>
  <c r="P624" i="1"/>
  <c r="O624" i="1"/>
  <c r="P634" i="1"/>
  <c r="O634" i="1"/>
  <c r="P616" i="1"/>
  <c r="O616" i="1"/>
  <c r="P627" i="1"/>
  <c r="O627" i="1"/>
  <c r="Q627" i="1" s="1"/>
  <c r="P641" i="1"/>
  <c r="O641" i="1"/>
  <c r="P659" i="1"/>
  <c r="O659" i="1"/>
  <c r="P577" i="1"/>
  <c r="O577" i="1"/>
  <c r="P588" i="1"/>
  <c r="O588" i="1"/>
  <c r="P579" i="1"/>
  <c r="O579" i="1"/>
  <c r="P597" i="1"/>
  <c r="O597" i="1"/>
  <c r="Q597" i="1" s="1"/>
  <c r="P611" i="1"/>
  <c r="O611" i="1"/>
  <c r="P609" i="1"/>
  <c r="O609" i="1"/>
  <c r="P592" i="1"/>
  <c r="O592" i="1"/>
  <c r="P606" i="1"/>
  <c r="O606" i="1"/>
  <c r="Q606" i="1" s="1"/>
  <c r="P591" i="1"/>
  <c r="O591" i="1"/>
  <c r="Q591" i="1" s="1"/>
  <c r="P65" i="1"/>
  <c r="O65" i="1"/>
  <c r="P84" i="1"/>
  <c r="O84" i="1"/>
  <c r="P55" i="1"/>
  <c r="O55" i="1"/>
  <c r="P66" i="1"/>
  <c r="O66" i="1"/>
  <c r="P74" i="1"/>
  <c r="O74" i="1"/>
  <c r="Q74" i="1" s="1"/>
  <c r="P76" i="1"/>
  <c r="O76" i="1"/>
  <c r="P70" i="1"/>
  <c r="O70" i="1"/>
  <c r="P61" i="1"/>
  <c r="O61" i="1"/>
  <c r="P647" i="1"/>
  <c r="O647" i="1"/>
  <c r="Q647" i="1" s="1"/>
  <c r="P640" i="1"/>
  <c r="O640" i="1"/>
  <c r="P630" i="1"/>
  <c r="O630" i="1"/>
  <c r="P681" i="1"/>
  <c r="O681" i="1"/>
  <c r="P685" i="1"/>
  <c r="O685" i="1"/>
  <c r="Q685" i="1" s="1"/>
  <c r="P660" i="1"/>
  <c r="O660" i="1"/>
  <c r="P664" i="1"/>
  <c r="O664" i="1"/>
  <c r="Q664" i="1" s="1"/>
  <c r="P53" i="1"/>
  <c r="O53" i="1"/>
  <c r="Q53" i="1" s="1"/>
  <c r="P35" i="1"/>
  <c r="O35" i="1"/>
  <c r="P42" i="1"/>
  <c r="O42" i="1"/>
  <c r="P31" i="1"/>
  <c r="O31" i="1"/>
  <c r="Q31" i="1" s="1"/>
  <c r="P26" i="1"/>
  <c r="O26" i="1"/>
  <c r="P47" i="1"/>
  <c r="O47" i="1"/>
  <c r="P38" i="1"/>
  <c r="O38" i="1"/>
  <c r="P46" i="1"/>
  <c r="O46" i="1"/>
  <c r="Q46" i="1" s="1"/>
  <c r="P54" i="1"/>
  <c r="O54" i="1"/>
  <c r="P114" i="1"/>
  <c r="O114" i="1"/>
  <c r="P85" i="1"/>
  <c r="O85" i="1"/>
  <c r="Q85" i="1" s="1"/>
  <c r="P92" i="1"/>
  <c r="O92" i="1"/>
  <c r="P90" i="1"/>
  <c r="O90" i="1"/>
  <c r="P93" i="1"/>
  <c r="O93" i="1"/>
  <c r="Q93" i="1" s="1"/>
  <c r="P100" i="1"/>
  <c r="O100" i="1"/>
  <c r="P95" i="1"/>
  <c r="O95" i="1"/>
  <c r="P99" i="1"/>
  <c r="O99" i="1"/>
  <c r="P104" i="1"/>
  <c r="O104" i="1"/>
  <c r="Q104" i="1" s="1"/>
  <c r="P98" i="1"/>
  <c r="O98" i="1"/>
  <c r="P97" i="1"/>
  <c r="O97" i="1"/>
  <c r="Q97" i="1" s="1"/>
  <c r="P362" i="1"/>
  <c r="O362" i="1"/>
  <c r="Q362" i="1" s="1"/>
  <c r="P359" i="1"/>
  <c r="O359" i="1"/>
  <c r="P355" i="1"/>
  <c r="O355" i="1"/>
  <c r="P360" i="1"/>
  <c r="O360" i="1"/>
  <c r="P352" i="1"/>
  <c r="O352" i="1"/>
  <c r="Q352" i="1" s="1"/>
  <c r="P357" i="1"/>
  <c r="O357" i="1"/>
  <c r="P356" i="1"/>
  <c r="O356" i="1"/>
  <c r="P358" i="1"/>
  <c r="O358" i="1"/>
  <c r="P354" i="1"/>
  <c r="O354" i="1"/>
  <c r="P428" i="1"/>
  <c r="O428" i="1"/>
  <c r="P431" i="1"/>
  <c r="O431" i="1"/>
  <c r="Q431" i="1" s="1"/>
  <c r="P422" i="1"/>
  <c r="O422" i="1"/>
  <c r="P412" i="1"/>
  <c r="O412" i="1"/>
  <c r="P425" i="1"/>
  <c r="O425" i="1"/>
  <c r="Q425" i="1" s="1"/>
  <c r="P426" i="1"/>
  <c r="O426" i="1"/>
  <c r="P424" i="1"/>
  <c r="O424" i="1"/>
  <c r="Q424" i="1" s="1"/>
  <c r="P421" i="1"/>
  <c r="O421" i="1"/>
  <c r="P443" i="1"/>
  <c r="O443" i="1"/>
  <c r="Q443" i="1" s="1"/>
  <c r="P419" i="1"/>
  <c r="O419" i="1"/>
  <c r="P417" i="1"/>
  <c r="O417" i="1"/>
  <c r="P448" i="1"/>
  <c r="O448" i="1"/>
  <c r="P464" i="1"/>
  <c r="O464" i="1"/>
  <c r="P416" i="1"/>
  <c r="O416" i="1"/>
  <c r="P415" i="1"/>
  <c r="O415" i="1"/>
  <c r="P414" i="1"/>
  <c r="O414" i="1"/>
  <c r="Q414" i="1" s="1"/>
  <c r="P433" i="1"/>
  <c r="O433" i="1"/>
  <c r="Q433" i="1" s="1"/>
  <c r="P429" i="1"/>
  <c r="O429" i="1"/>
  <c r="P468" i="1"/>
  <c r="O468" i="1"/>
  <c r="Q468" i="1" s="1"/>
  <c r="P438" i="1"/>
  <c r="O438" i="1"/>
  <c r="P423" i="1"/>
  <c r="O423" i="1"/>
  <c r="Q423" i="1" s="1"/>
  <c r="P427" i="1"/>
  <c r="O427" i="1"/>
  <c r="Q427" i="1" s="1"/>
  <c r="P430" i="1"/>
  <c r="O430" i="1"/>
  <c r="P420" i="1"/>
  <c r="O420" i="1"/>
  <c r="P442" i="1"/>
  <c r="O442" i="1"/>
  <c r="Q442" i="1" s="1"/>
  <c r="P434" i="1"/>
  <c r="O434" i="1"/>
  <c r="P454" i="1"/>
  <c r="O454" i="1"/>
  <c r="P639" i="1"/>
  <c r="O639" i="1"/>
  <c r="P626" i="1"/>
  <c r="O626" i="1"/>
  <c r="P615" i="1"/>
  <c r="O615" i="1"/>
  <c r="P637" i="1"/>
  <c r="O637" i="1"/>
  <c r="P613" i="1"/>
  <c r="O613" i="1"/>
  <c r="P607" i="1"/>
  <c r="O607" i="1"/>
  <c r="P633" i="1"/>
  <c r="O633" i="1"/>
  <c r="P651" i="1"/>
  <c r="O651" i="1"/>
  <c r="P629" i="1"/>
  <c r="O629" i="1"/>
  <c r="P460" i="1"/>
  <c r="O460" i="1"/>
  <c r="Q460" i="1" s="1"/>
  <c r="P455" i="1"/>
  <c r="O455" i="1"/>
  <c r="P470" i="1"/>
  <c r="O470" i="1"/>
  <c r="P462" i="1"/>
  <c r="O462" i="1"/>
  <c r="P477" i="1"/>
  <c r="O477" i="1"/>
  <c r="Q477" i="1" s="1"/>
  <c r="P457" i="1"/>
  <c r="O457" i="1"/>
  <c r="Q457" i="1" s="1"/>
  <c r="P474" i="1"/>
  <c r="O474" i="1"/>
  <c r="P469" i="1"/>
  <c r="O469" i="1"/>
  <c r="P184" i="1"/>
  <c r="O184" i="1"/>
  <c r="P202" i="1"/>
  <c r="O202" i="1"/>
  <c r="P212" i="1"/>
  <c r="O212" i="1"/>
  <c r="Q212" i="1" s="1"/>
  <c r="P213" i="1"/>
  <c r="O213" i="1"/>
  <c r="P194" i="1"/>
  <c r="O194" i="1"/>
  <c r="P190" i="1"/>
  <c r="O190" i="1"/>
  <c r="P199" i="1"/>
  <c r="O199" i="1"/>
  <c r="Q199" i="1" s="1"/>
  <c r="P197" i="1"/>
  <c r="O197" i="1"/>
  <c r="Q197" i="1" s="1"/>
  <c r="P187" i="1"/>
  <c r="O187" i="1"/>
  <c r="Q187" i="1" s="1"/>
  <c r="P534" i="1"/>
  <c r="O534" i="1"/>
  <c r="P495" i="1"/>
  <c r="O495" i="1"/>
  <c r="P605" i="1"/>
  <c r="O605" i="1"/>
  <c r="P515" i="1"/>
  <c r="O515" i="1"/>
  <c r="P554" i="1"/>
  <c r="O554" i="1"/>
  <c r="P595" i="1"/>
  <c r="O595" i="1"/>
  <c r="P638" i="1"/>
  <c r="O638" i="1"/>
  <c r="P574" i="1"/>
  <c r="O574" i="1"/>
  <c r="P621" i="1"/>
  <c r="O621" i="1"/>
  <c r="P514" i="1"/>
  <c r="O514" i="1"/>
  <c r="P570" i="1"/>
  <c r="O570" i="1"/>
  <c r="P580" i="1"/>
  <c r="O580" i="1"/>
  <c r="P13" i="1"/>
  <c r="O13" i="1"/>
  <c r="P20" i="1"/>
  <c r="O20" i="1"/>
  <c r="P19" i="1"/>
  <c r="O19" i="1"/>
  <c r="P24" i="1"/>
  <c r="O24" i="1"/>
  <c r="P22" i="1"/>
  <c r="O22" i="1"/>
  <c r="P18" i="1"/>
  <c r="O18" i="1"/>
  <c r="P25" i="1"/>
  <c r="O25" i="1"/>
  <c r="P30" i="1"/>
  <c r="O30" i="1"/>
  <c r="P43" i="1"/>
  <c r="O43" i="1"/>
  <c r="P27" i="1"/>
  <c r="O27" i="1"/>
  <c r="P33" i="1"/>
  <c r="O33" i="1"/>
  <c r="P370" i="1"/>
  <c r="O370" i="1"/>
  <c r="P366" i="1"/>
  <c r="O366" i="1"/>
  <c r="P364" i="1"/>
  <c r="O364" i="1"/>
  <c r="P365" i="1"/>
  <c r="O365" i="1"/>
  <c r="P363" i="1"/>
  <c r="O363" i="1"/>
  <c r="P369" i="1"/>
  <c r="O369" i="1"/>
  <c r="P368" i="1"/>
  <c r="O368" i="1"/>
  <c r="P361" i="1"/>
  <c r="O361" i="1"/>
  <c r="P372" i="1"/>
  <c r="O372" i="1"/>
  <c r="P367" i="1"/>
  <c r="O367" i="1"/>
  <c r="P550" i="1"/>
  <c r="O550" i="1"/>
  <c r="P555" i="1"/>
  <c r="O555" i="1"/>
  <c r="P598" i="1"/>
  <c r="O598" i="1"/>
  <c r="P520" i="1"/>
  <c r="O520" i="1"/>
  <c r="P619" i="1"/>
  <c r="O619" i="1"/>
  <c r="P559" i="1"/>
  <c r="O559" i="1"/>
  <c r="P614" i="1"/>
  <c r="O614" i="1"/>
  <c r="P531" i="1"/>
  <c r="O531" i="1"/>
  <c r="P560" i="1"/>
  <c r="O560" i="1"/>
  <c r="P600" i="1"/>
  <c r="O600" i="1"/>
  <c r="P547" i="1"/>
  <c r="O547" i="1"/>
  <c r="P557" i="1"/>
  <c r="O557" i="1"/>
  <c r="P622" i="1"/>
  <c r="O622" i="1"/>
  <c r="P582" i="1"/>
  <c r="O582" i="1"/>
  <c r="P321" i="1"/>
  <c r="O321" i="1"/>
  <c r="P326" i="1"/>
  <c r="O326" i="1"/>
  <c r="P324" i="1"/>
  <c r="O324" i="1"/>
  <c r="P325" i="1"/>
  <c r="O325" i="1"/>
  <c r="P317" i="1"/>
  <c r="O317" i="1"/>
  <c r="P319" i="1"/>
  <c r="O319" i="1"/>
  <c r="P323" i="1"/>
  <c r="O323" i="1"/>
  <c r="P318" i="1"/>
  <c r="O318" i="1"/>
  <c r="P316" i="1"/>
  <c r="O316" i="1"/>
  <c r="P315" i="1"/>
  <c r="O315" i="1"/>
  <c r="P329" i="1"/>
  <c r="O329" i="1"/>
  <c r="P313" i="1"/>
  <c r="O313" i="1"/>
  <c r="P327" i="1"/>
  <c r="O327" i="1"/>
  <c r="P311" i="1"/>
  <c r="O311" i="1"/>
  <c r="P332" i="1"/>
  <c r="O332" i="1"/>
  <c r="P338" i="1"/>
  <c r="O338" i="1"/>
  <c r="P342" i="1"/>
  <c r="O342" i="1"/>
  <c r="P335" i="1"/>
  <c r="O335" i="1"/>
  <c r="P339" i="1"/>
  <c r="O339" i="1"/>
  <c r="P330" i="1"/>
  <c r="O330" i="1"/>
  <c r="P333" i="1"/>
  <c r="O333" i="1"/>
  <c r="P331" i="1"/>
  <c r="O331" i="1"/>
  <c r="P337" i="1"/>
  <c r="O337" i="1"/>
  <c r="P322" i="1"/>
  <c r="O322" i="1"/>
  <c r="P336" i="1"/>
  <c r="O336" i="1"/>
  <c r="P343" i="1"/>
  <c r="O343" i="1"/>
  <c r="P334" i="1"/>
  <c r="O334" i="1"/>
  <c r="P340" i="1"/>
  <c r="O340" i="1"/>
  <c r="P345" i="1"/>
  <c r="O345" i="1"/>
  <c r="P344" i="1"/>
  <c r="O344" i="1"/>
  <c r="P341" i="1"/>
  <c r="O341" i="1"/>
  <c r="P328" i="1"/>
  <c r="O328" i="1"/>
  <c r="P379" i="1"/>
  <c r="O379" i="1"/>
  <c r="P374" i="1"/>
  <c r="O374" i="1"/>
  <c r="P378" i="1"/>
  <c r="O378" i="1"/>
  <c r="P373" i="1"/>
  <c r="O373" i="1"/>
  <c r="P377" i="1"/>
  <c r="O377" i="1"/>
  <c r="P371" i="1"/>
  <c r="O371" i="1"/>
  <c r="P375" i="1"/>
  <c r="O375" i="1"/>
  <c r="P376" i="1"/>
  <c r="O376" i="1"/>
  <c r="P269" i="1"/>
  <c r="O269" i="1"/>
  <c r="P274" i="1"/>
  <c r="O274" i="1"/>
  <c r="P263" i="1"/>
  <c r="O263" i="1"/>
  <c r="P264" i="1"/>
  <c r="O264" i="1"/>
  <c r="P279" i="1"/>
  <c r="O279" i="1"/>
  <c r="P270" i="1"/>
  <c r="O270" i="1"/>
  <c r="P268" i="1"/>
  <c r="O268" i="1"/>
  <c r="Q268" i="1" s="1"/>
  <c r="P276" i="1"/>
  <c r="O276" i="1"/>
  <c r="P265" i="1"/>
  <c r="O265" i="1"/>
  <c r="P596" i="1"/>
  <c r="O596" i="1"/>
  <c r="P594" i="1"/>
  <c r="O594" i="1"/>
  <c r="P569" i="1"/>
  <c r="O569" i="1"/>
  <c r="P551" i="1"/>
  <c r="O551" i="1"/>
  <c r="P612" i="1"/>
  <c r="O612" i="1"/>
  <c r="P573" i="1"/>
  <c r="O573" i="1"/>
  <c r="P587" i="1"/>
  <c r="O587" i="1"/>
  <c r="P604" i="1"/>
  <c r="O604" i="1"/>
  <c r="P610" i="1"/>
  <c r="O610" i="1"/>
  <c r="P590" i="1"/>
  <c r="O590" i="1"/>
  <c r="P625" i="1"/>
  <c r="O625" i="1"/>
  <c r="P628" i="1"/>
  <c r="O628" i="1"/>
  <c r="P602" i="1"/>
  <c r="O602" i="1"/>
  <c r="P205" i="1"/>
  <c r="O205" i="1"/>
  <c r="P224" i="1"/>
  <c r="O224" i="1"/>
  <c r="P215" i="1"/>
  <c r="O215" i="1"/>
  <c r="P222" i="1"/>
  <c r="O222" i="1"/>
  <c r="P211" i="1"/>
  <c r="O211" i="1"/>
  <c r="Q211" i="1" s="1"/>
  <c r="P218" i="1"/>
  <c r="O218" i="1"/>
  <c r="P230" i="1"/>
  <c r="O230" i="1"/>
  <c r="P436" i="1"/>
  <c r="O436" i="1"/>
  <c r="P441" i="1"/>
  <c r="O441" i="1"/>
  <c r="P440" i="1"/>
  <c r="O440" i="1"/>
  <c r="P444" i="1"/>
  <c r="O444" i="1"/>
  <c r="P449" i="1"/>
  <c r="O449" i="1"/>
  <c r="P432" i="1"/>
  <c r="O432" i="1"/>
  <c r="P447" i="1"/>
  <c r="O447" i="1"/>
  <c r="P453" i="1"/>
  <c r="O453" i="1"/>
  <c r="Q453" i="1" s="1"/>
  <c r="P402" i="1"/>
  <c r="O402" i="1"/>
  <c r="P395" i="1"/>
  <c r="O395" i="1"/>
  <c r="P408" i="1"/>
  <c r="O408" i="1"/>
  <c r="P396" i="1"/>
  <c r="O396" i="1"/>
  <c r="P407" i="1"/>
  <c r="O407" i="1"/>
  <c r="P404" i="1"/>
  <c r="O404" i="1"/>
  <c r="P405" i="1"/>
  <c r="O405" i="1"/>
  <c r="P409" i="1"/>
  <c r="O409" i="1"/>
  <c r="P413" i="1"/>
  <c r="O413" i="1"/>
  <c r="P418" i="1"/>
  <c r="O418" i="1"/>
  <c r="P410" i="1"/>
  <c r="O410" i="1"/>
  <c r="P398" i="1"/>
  <c r="O398" i="1"/>
  <c r="P394" i="1"/>
  <c r="O394" i="1"/>
  <c r="P411" i="1"/>
  <c r="O411" i="1"/>
  <c r="P393" i="1"/>
  <c r="O393" i="1"/>
  <c r="P406" i="1"/>
  <c r="O406" i="1"/>
  <c r="P399" i="1"/>
  <c r="O399" i="1"/>
  <c r="P401" i="1"/>
  <c r="O401" i="1"/>
  <c r="P397" i="1"/>
  <c r="O397" i="1"/>
  <c r="P403" i="1"/>
  <c r="O403" i="1"/>
  <c r="Q403" i="1" s="1"/>
  <c r="P400" i="1"/>
  <c r="O400" i="1"/>
  <c r="P451" i="1"/>
  <c r="O451" i="1"/>
  <c r="P450" i="1"/>
  <c r="O450" i="1"/>
  <c r="P456" i="1"/>
  <c r="O456" i="1"/>
  <c r="P445" i="1"/>
  <c r="O445" i="1"/>
  <c r="P435" i="1"/>
  <c r="O435" i="1"/>
  <c r="P452" i="1"/>
  <c r="O452" i="1"/>
  <c r="P459" i="1"/>
  <c r="O459" i="1"/>
  <c r="P463" i="1"/>
  <c r="O463" i="1"/>
  <c r="P439" i="1"/>
  <c r="O439" i="1"/>
  <c r="Q439" i="1" s="1"/>
  <c r="P446" i="1"/>
  <c r="O446" i="1"/>
  <c r="P171" i="1"/>
  <c r="O171" i="1"/>
  <c r="P130" i="1"/>
  <c r="O130" i="1"/>
  <c r="P131" i="1"/>
  <c r="O131" i="1"/>
  <c r="P118" i="1"/>
  <c r="O118" i="1"/>
  <c r="P125" i="1"/>
  <c r="O125" i="1"/>
  <c r="P162" i="1"/>
  <c r="O162" i="1"/>
  <c r="P117" i="1"/>
  <c r="O117" i="1"/>
  <c r="P141" i="1"/>
  <c r="O141" i="1"/>
  <c r="P152" i="1"/>
  <c r="O152" i="1"/>
  <c r="P167" i="1"/>
  <c r="O167" i="1"/>
  <c r="P170" i="1"/>
  <c r="O170" i="1"/>
  <c r="P108" i="1"/>
  <c r="O108" i="1"/>
  <c r="P123" i="1"/>
  <c r="O123" i="1"/>
  <c r="P116" i="1"/>
  <c r="O116" i="1"/>
  <c r="P133" i="1"/>
  <c r="O133" i="1"/>
  <c r="P656" i="1"/>
  <c r="O656" i="1"/>
  <c r="P693" i="1"/>
  <c r="O693" i="1"/>
  <c r="P671" i="1"/>
  <c r="O671" i="1"/>
  <c r="P695" i="1"/>
  <c r="O695" i="1"/>
  <c r="Q695" i="1" s="1"/>
  <c r="P679" i="1"/>
  <c r="O679" i="1"/>
  <c r="P687" i="1"/>
  <c r="O687" i="1"/>
  <c r="P670" i="1"/>
  <c r="O670" i="1"/>
  <c r="P674" i="1"/>
  <c r="O674" i="1"/>
  <c r="P684" i="1"/>
  <c r="O684" i="1"/>
  <c r="P644" i="1"/>
  <c r="O644" i="1"/>
  <c r="P657" i="1"/>
  <c r="O657" i="1"/>
  <c r="P672" i="1"/>
  <c r="O672" i="1"/>
  <c r="P635" i="1"/>
  <c r="O635" i="1"/>
  <c r="P645" i="1"/>
  <c r="O645" i="1"/>
  <c r="P623" i="1"/>
  <c r="O623" i="1"/>
  <c r="P620" i="1"/>
  <c r="O620" i="1"/>
  <c r="P631" i="1"/>
  <c r="O631" i="1"/>
  <c r="P648" i="1"/>
  <c r="O648" i="1"/>
  <c r="P658" i="1"/>
  <c r="O658" i="1"/>
  <c r="P642" i="1"/>
  <c r="O642" i="1"/>
  <c r="P228" i="1"/>
  <c r="O228" i="1"/>
  <c r="P241" i="1"/>
  <c r="O241" i="1"/>
  <c r="P217" i="1"/>
  <c r="O217" i="1"/>
  <c r="P225" i="1"/>
  <c r="O225" i="1"/>
  <c r="Q225" i="1" s="1"/>
  <c r="P208" i="1"/>
  <c r="O208" i="1"/>
  <c r="P239" i="1"/>
  <c r="O239" i="1"/>
  <c r="Q239" i="1" s="1"/>
  <c r="P214" i="1"/>
  <c r="O214" i="1"/>
  <c r="P233" i="1"/>
  <c r="O233" i="1"/>
  <c r="P204" i="1"/>
  <c r="O204" i="1"/>
  <c r="P219" i="1"/>
  <c r="O219" i="1"/>
  <c r="P210" i="1"/>
  <c r="O210" i="1"/>
  <c r="P221" i="1"/>
  <c r="O221" i="1"/>
  <c r="P649" i="1"/>
  <c r="O649" i="1"/>
  <c r="P661" i="1"/>
  <c r="O661" i="1"/>
  <c r="Q661" i="1" s="1"/>
  <c r="P673" i="1"/>
  <c r="O673" i="1"/>
  <c r="P669" i="1"/>
  <c r="O669" i="1"/>
  <c r="Q669" i="1" s="1"/>
  <c r="P688" i="1"/>
  <c r="O688" i="1"/>
  <c r="P668" i="1"/>
  <c r="O668" i="1"/>
  <c r="P682" i="1"/>
  <c r="O682" i="1"/>
  <c r="P675" i="1"/>
  <c r="O675" i="1"/>
  <c r="P314" i="1"/>
  <c r="O314" i="1"/>
  <c r="P304" i="1"/>
  <c r="O304" i="1"/>
  <c r="P310" i="1"/>
  <c r="O310" i="1"/>
  <c r="P302" i="1"/>
  <c r="O302" i="1"/>
  <c r="P306" i="1"/>
  <c r="O306" i="1"/>
  <c r="P312" i="1"/>
  <c r="O312" i="1"/>
  <c r="P297" i="1"/>
  <c r="O297" i="1"/>
  <c r="P309" i="1"/>
  <c r="O309" i="1"/>
  <c r="P308" i="1"/>
  <c r="O308" i="1"/>
  <c r="P320" i="1"/>
  <c r="O320" i="1"/>
  <c r="P23" i="1"/>
  <c r="O23" i="1"/>
  <c r="P28" i="1"/>
  <c r="O28" i="1"/>
  <c r="P67" i="1"/>
  <c r="O67" i="1"/>
  <c r="P60" i="1"/>
  <c r="O60" i="1"/>
  <c r="P82" i="1"/>
  <c r="O82" i="1"/>
  <c r="P87" i="1"/>
  <c r="O87" i="1"/>
  <c r="P39" i="1"/>
  <c r="O39" i="1"/>
  <c r="P77" i="1"/>
  <c r="O77" i="1"/>
  <c r="P96" i="1"/>
  <c r="O96" i="1"/>
  <c r="P36" i="1"/>
  <c r="O36" i="1"/>
  <c r="P48" i="1"/>
  <c r="O48" i="1"/>
  <c r="P106" i="1"/>
  <c r="O106" i="1"/>
  <c r="P52" i="1"/>
  <c r="O52" i="1"/>
  <c r="P32" i="1"/>
  <c r="O32" i="1"/>
  <c r="P44" i="1"/>
  <c r="O44" i="1"/>
  <c r="P258" i="1"/>
  <c r="O258" i="1"/>
  <c r="P252" i="1"/>
  <c r="O252" i="1"/>
  <c r="P244" i="1"/>
  <c r="O244" i="1"/>
  <c r="P246" i="1"/>
  <c r="O246" i="1"/>
  <c r="P237" i="1"/>
  <c r="O237" i="1"/>
  <c r="P245" i="1"/>
  <c r="O245" i="1"/>
  <c r="P232" i="1"/>
  <c r="O232" i="1"/>
  <c r="P240" i="1"/>
  <c r="O240" i="1"/>
  <c r="P516" i="1"/>
  <c r="O516" i="1"/>
  <c r="P532" i="1"/>
  <c r="O532" i="1"/>
  <c r="P522" i="1"/>
  <c r="O522" i="1"/>
  <c r="P481" i="1"/>
  <c r="O481" i="1"/>
  <c r="P487" i="1"/>
  <c r="O487" i="1"/>
  <c r="P521" i="1"/>
  <c r="O521" i="1"/>
  <c r="P491" i="1"/>
  <c r="O491" i="1"/>
  <c r="P503" i="1"/>
  <c r="O503" i="1"/>
  <c r="P478" i="1"/>
  <c r="O478" i="1"/>
  <c r="P501" i="1"/>
  <c r="O501" i="1"/>
  <c r="P458" i="1"/>
  <c r="O458" i="1"/>
  <c r="P475" i="1"/>
  <c r="O475" i="1"/>
  <c r="P483" i="1"/>
  <c r="O483" i="1"/>
  <c r="P496" i="1"/>
  <c r="O496" i="1"/>
  <c r="P467" i="1"/>
  <c r="O467" i="1"/>
  <c r="P465" i="1"/>
  <c r="O465" i="1"/>
  <c r="P519" i="1"/>
  <c r="O519" i="1"/>
  <c r="P480" i="1"/>
  <c r="O480" i="1"/>
  <c r="P504" i="1"/>
  <c r="O504" i="1"/>
  <c r="P518" i="1"/>
  <c r="O518" i="1"/>
  <c r="P485" i="1"/>
  <c r="O485" i="1"/>
  <c r="P165" i="1"/>
  <c r="O165" i="1"/>
  <c r="P153" i="1"/>
  <c r="O153" i="1"/>
  <c r="P157" i="1"/>
  <c r="O157" i="1"/>
  <c r="P161" i="1"/>
  <c r="O161" i="1"/>
  <c r="P136" i="1"/>
  <c r="O136" i="1"/>
  <c r="P139" i="1"/>
  <c r="O139" i="1"/>
  <c r="P140" i="1"/>
  <c r="O140" i="1"/>
  <c r="P142" i="1"/>
  <c r="O142" i="1"/>
  <c r="P143" i="1"/>
  <c r="O143" i="1"/>
  <c r="P151" i="1"/>
  <c r="O151" i="1"/>
  <c r="P150" i="1"/>
  <c r="O150" i="1"/>
  <c r="P166" i="1"/>
  <c r="O166" i="1"/>
  <c r="P144" i="1"/>
  <c r="O144" i="1"/>
  <c r="P148" i="1"/>
  <c r="O148" i="1"/>
  <c r="P149" i="1"/>
  <c r="O149" i="1"/>
  <c r="P155" i="1"/>
  <c r="O155" i="1"/>
  <c r="P128" i="1"/>
  <c r="O128" i="1"/>
  <c r="P169" i="1"/>
  <c r="O169" i="1"/>
  <c r="P163" i="1"/>
  <c r="O163" i="1"/>
  <c r="P181" i="1"/>
  <c r="O181" i="1"/>
  <c r="P113" i="1"/>
  <c r="O113" i="1"/>
  <c r="P158" i="1"/>
  <c r="O158" i="1"/>
  <c r="P145" i="1"/>
  <c r="O145" i="1"/>
  <c r="P138" i="1"/>
  <c r="O138" i="1"/>
  <c r="P41" i="1"/>
  <c r="O41" i="1"/>
  <c r="P37" i="1"/>
  <c r="O37" i="1"/>
  <c r="P40" i="1"/>
  <c r="O40" i="1"/>
  <c r="P45" i="1"/>
  <c r="O45" i="1"/>
  <c r="P34" i="1"/>
  <c r="O34" i="1"/>
  <c r="P29" i="1"/>
  <c r="O29" i="1"/>
  <c r="P51" i="1"/>
  <c r="O51" i="1"/>
  <c r="P49" i="1"/>
  <c r="O49" i="1"/>
  <c r="P479" i="1"/>
  <c r="O479" i="1"/>
  <c r="P484" i="1"/>
  <c r="O484" i="1"/>
  <c r="P526" i="1"/>
  <c r="O526" i="1"/>
  <c r="P509" i="1"/>
  <c r="O509" i="1"/>
  <c r="P505" i="1"/>
  <c r="O505" i="1"/>
  <c r="P489" i="1"/>
  <c r="O489" i="1"/>
  <c r="P499" i="1"/>
  <c r="O499" i="1"/>
  <c r="P510" i="1"/>
  <c r="O510" i="1"/>
  <c r="P502" i="1"/>
  <c r="O502" i="1"/>
  <c r="P494" i="1"/>
  <c r="O494" i="1"/>
  <c r="P488" i="1"/>
  <c r="O488" i="1"/>
  <c r="P497" i="1"/>
  <c r="O497" i="1"/>
  <c r="P437" i="1"/>
  <c r="O437" i="1"/>
  <c r="P498" i="1"/>
  <c r="O498" i="1"/>
  <c r="P513" i="1"/>
  <c r="O513" i="1"/>
  <c r="P500" i="1"/>
  <c r="O500" i="1"/>
  <c r="P493" i="1"/>
  <c r="O493" i="1"/>
  <c r="P517" i="1"/>
  <c r="O517" i="1"/>
  <c r="P492" i="1"/>
  <c r="O492" i="1"/>
  <c r="P537" i="1"/>
  <c r="O537" i="1"/>
  <c r="P538" i="1"/>
  <c r="O538" i="1"/>
  <c r="P524" i="1"/>
  <c r="O524" i="1"/>
  <c r="P525" i="1"/>
  <c r="O525" i="1"/>
  <c r="P507" i="1"/>
  <c r="O507" i="1"/>
  <c r="P565" i="1"/>
  <c r="O565" i="1"/>
  <c r="P528" i="1"/>
  <c r="O528" i="1"/>
  <c r="P511" i="1"/>
  <c r="O511" i="1"/>
  <c r="P384" i="1"/>
  <c r="O384" i="1"/>
  <c r="P385" i="1"/>
  <c r="O385" i="1"/>
  <c r="P392" i="1"/>
  <c r="O392" i="1"/>
  <c r="P388" i="1"/>
  <c r="O388" i="1"/>
  <c r="P380" i="1"/>
  <c r="O380" i="1"/>
  <c r="P381" i="1"/>
  <c r="O381" i="1"/>
  <c r="P389" i="1"/>
  <c r="O389" i="1"/>
  <c r="P382" i="1"/>
  <c r="O382" i="1"/>
  <c r="P391" i="1"/>
  <c r="O391" i="1"/>
  <c r="P386" i="1"/>
  <c r="O386" i="1"/>
  <c r="P390" i="1"/>
  <c r="O390" i="1"/>
  <c r="P387" i="1"/>
  <c r="O387" i="1"/>
  <c r="P383" i="1"/>
  <c r="O383" i="1"/>
  <c r="P486" i="1"/>
  <c r="O486" i="1"/>
  <c r="P506" i="1"/>
  <c r="O506" i="1"/>
  <c r="P533" i="1"/>
  <c r="O533" i="1"/>
  <c r="P523" i="1"/>
  <c r="O523" i="1"/>
  <c r="P508" i="1"/>
  <c r="O508" i="1"/>
  <c r="P540" i="1"/>
  <c r="O540" i="1"/>
  <c r="P552" i="1"/>
  <c r="O552" i="1"/>
  <c r="P558" i="1"/>
  <c r="O558" i="1"/>
  <c r="P583" i="1"/>
  <c r="O583" i="1"/>
  <c r="P529" i="1"/>
  <c r="O529" i="1"/>
  <c r="P563" i="1"/>
  <c r="O563" i="1"/>
  <c r="P490" i="1"/>
  <c r="O490" i="1"/>
  <c r="P536" i="1"/>
  <c r="O536" i="1"/>
  <c r="P482" i="1"/>
  <c r="O482" i="1"/>
  <c r="P572" i="1"/>
  <c r="O572" i="1"/>
  <c r="P549" i="1"/>
  <c r="O549" i="1"/>
  <c r="P530" i="1"/>
  <c r="O530" i="1"/>
  <c r="P543" i="1"/>
  <c r="O543" i="1"/>
  <c r="P542" i="1"/>
  <c r="O542" i="1"/>
  <c r="P535" i="1"/>
  <c r="O535" i="1"/>
  <c r="P527" i="1"/>
  <c r="O527" i="1"/>
  <c r="P544" i="1"/>
  <c r="O544" i="1"/>
  <c r="P539" i="1"/>
  <c r="O539" i="1"/>
  <c r="P566" i="1"/>
  <c r="O566" i="1"/>
  <c r="P561" i="1"/>
  <c r="O561" i="1"/>
  <c r="P512" i="1"/>
  <c r="O512" i="1"/>
  <c r="P545" i="1"/>
  <c r="O545" i="1"/>
  <c r="P553" i="1"/>
  <c r="O553" i="1"/>
  <c r="P568" i="1"/>
  <c r="O568" i="1"/>
  <c r="P546" i="1"/>
  <c r="O546" i="1"/>
  <c r="P461" i="1"/>
  <c r="O461" i="1"/>
  <c r="P471" i="1"/>
  <c r="O471" i="1"/>
  <c r="P472" i="1"/>
  <c r="O472" i="1"/>
  <c r="P473" i="1"/>
  <c r="O473" i="1"/>
  <c r="P476" i="1"/>
  <c r="O476" i="1"/>
  <c r="P466" i="1"/>
  <c r="O466" i="1"/>
  <c r="P708" i="1"/>
  <c r="O708" i="1"/>
  <c r="P691" i="1"/>
  <c r="O691" i="1"/>
  <c r="P700" i="1"/>
  <c r="O700" i="1"/>
  <c r="P678" i="1"/>
  <c r="O678" i="1"/>
  <c r="P709" i="1"/>
  <c r="O709" i="1"/>
  <c r="P710" i="1"/>
  <c r="O710" i="1"/>
  <c r="P696" i="1"/>
  <c r="O696" i="1"/>
  <c r="P703" i="1"/>
  <c r="O703" i="1"/>
  <c r="P711" i="1"/>
  <c r="O711" i="1"/>
  <c r="P676" i="1"/>
  <c r="O676" i="1"/>
  <c r="P699" i="1"/>
  <c r="O699" i="1"/>
  <c r="P292" i="1"/>
  <c r="O292" i="1"/>
  <c r="P277" i="1"/>
  <c r="O277" i="1"/>
  <c r="P291" i="1"/>
  <c r="O291" i="1"/>
  <c r="P272" i="1"/>
  <c r="O272" i="1"/>
  <c r="P284" i="1"/>
  <c r="O284" i="1"/>
  <c r="P301" i="1"/>
  <c r="O301" i="1"/>
  <c r="P280" i="1"/>
  <c r="O280" i="1"/>
  <c r="P293" i="1"/>
  <c r="O293" i="1"/>
  <c r="P286" i="1"/>
  <c r="O286" i="1"/>
  <c r="P289" i="1"/>
  <c r="O289" i="1"/>
  <c r="P296" i="1"/>
  <c r="O296" i="1"/>
  <c r="P283" i="1"/>
  <c r="O283" i="1"/>
  <c r="P278" i="1"/>
  <c r="O278" i="1"/>
  <c r="P281" i="1"/>
  <c r="O281" i="1"/>
  <c r="P298" i="1"/>
  <c r="O298" i="1"/>
  <c r="P275" i="1"/>
  <c r="O275" i="1"/>
  <c r="P294" i="1"/>
  <c r="O294" i="1"/>
  <c r="P121" i="1"/>
  <c r="O121" i="1"/>
  <c r="P124" i="1"/>
  <c r="O124" i="1"/>
  <c r="P168" i="1"/>
  <c r="O168" i="1"/>
  <c r="P137" i="1"/>
  <c r="O137" i="1"/>
  <c r="P89" i="1"/>
  <c r="O89" i="1"/>
  <c r="P91" i="1"/>
  <c r="O91" i="1"/>
  <c r="P83" i="1"/>
  <c r="O83" i="1"/>
  <c r="P160" i="1"/>
  <c r="O160" i="1"/>
  <c r="P159" i="1"/>
  <c r="O159" i="1"/>
  <c r="P78" i="1"/>
  <c r="O78" i="1"/>
  <c r="P107" i="1"/>
  <c r="O107" i="1"/>
  <c r="P110" i="1"/>
  <c r="O110" i="1"/>
  <c r="P174" i="1"/>
  <c r="O174" i="1"/>
  <c r="P193" i="1"/>
  <c r="O193" i="1"/>
  <c r="P179" i="1"/>
  <c r="O179" i="1"/>
  <c r="P180" i="1"/>
  <c r="O180" i="1"/>
  <c r="P203" i="1"/>
  <c r="O203" i="1"/>
  <c r="P134" i="1"/>
  <c r="O134" i="1"/>
  <c r="P146" i="1"/>
  <c r="O146" i="1"/>
  <c r="P176" i="1"/>
  <c r="O176" i="1"/>
  <c r="P192" i="1"/>
  <c r="O192" i="1"/>
  <c r="P156" i="1"/>
  <c r="O156" i="1"/>
  <c r="P173" i="1"/>
  <c r="O173" i="1"/>
  <c r="P632" i="1"/>
  <c r="O632" i="1"/>
  <c r="P653" i="1"/>
  <c r="O653" i="1"/>
  <c r="P655" i="1"/>
  <c r="O655" i="1"/>
  <c r="P650" i="1"/>
  <c r="O650" i="1"/>
  <c r="P667" i="1"/>
  <c r="O667" i="1"/>
  <c r="P643" i="1"/>
  <c r="O643" i="1"/>
  <c r="P617" i="1"/>
  <c r="O617" i="1"/>
  <c r="P603" i="1"/>
  <c r="O603" i="1"/>
  <c r="P578" i="1"/>
  <c r="O578" i="1"/>
  <c r="P581" i="1"/>
  <c r="O581" i="1"/>
  <c r="P242" i="1"/>
  <c r="O242" i="1"/>
  <c r="P248" i="1"/>
  <c r="O248" i="1"/>
  <c r="P235" i="1"/>
  <c r="O235" i="1"/>
  <c r="P243" i="1"/>
  <c r="O243" i="1"/>
  <c r="P231" i="1"/>
  <c r="O231" i="1"/>
  <c r="P251" i="1"/>
  <c r="O251" i="1"/>
  <c r="P238" i="1"/>
  <c r="O238" i="1"/>
  <c r="P256" i="1"/>
  <c r="O256" i="1"/>
  <c r="P260" i="1"/>
  <c r="O260" i="1"/>
  <c r="P257" i="1"/>
  <c r="O257" i="1"/>
  <c r="P247" i="1"/>
  <c r="O247" i="1"/>
  <c r="P255" i="1"/>
  <c r="O255" i="1"/>
  <c r="P266" i="1"/>
  <c r="O266" i="1"/>
  <c r="P267" i="1"/>
  <c r="O267" i="1"/>
  <c r="P249" i="1"/>
  <c r="O249" i="1"/>
  <c r="P250" i="1"/>
  <c r="O250" i="1"/>
  <c r="P271" i="1"/>
  <c r="O271" i="1"/>
  <c r="P259" i="1"/>
  <c r="O259" i="1"/>
  <c r="P273" i="1"/>
  <c r="O273" i="1"/>
  <c r="P261" i="1"/>
  <c r="O261" i="1"/>
  <c r="P253" i="1"/>
  <c r="O253" i="1"/>
  <c r="P254" i="1"/>
  <c r="O254" i="1"/>
  <c r="P262" i="1"/>
  <c r="O262" i="1"/>
  <c r="P349" i="1"/>
  <c r="O349" i="1"/>
  <c r="P351" i="1"/>
  <c r="O351" i="1"/>
  <c r="P346" i="1"/>
  <c r="O346" i="1"/>
  <c r="P353" i="1"/>
  <c r="O353" i="1"/>
  <c r="P350" i="1"/>
  <c r="O350" i="1"/>
  <c r="P348" i="1"/>
  <c r="O348" i="1"/>
  <c r="P347" i="1"/>
  <c r="O347" i="1"/>
  <c r="P704" i="1"/>
  <c r="O704" i="1"/>
  <c r="P702" i="1"/>
  <c r="O702" i="1"/>
  <c r="P701" i="1"/>
  <c r="O701" i="1"/>
  <c r="P683" i="1"/>
  <c r="O683" i="1"/>
  <c r="P694" i="1"/>
  <c r="O694" i="1"/>
  <c r="P686" i="1"/>
  <c r="O686" i="1"/>
  <c r="P690" i="1"/>
  <c r="O690" i="1"/>
  <c r="P697" i="1"/>
  <c r="O697" i="1"/>
  <c r="P707" i="1"/>
  <c r="O707" i="1"/>
  <c r="P698" i="1"/>
  <c r="O698" i="1"/>
  <c r="P692" i="1"/>
  <c r="O692" i="1"/>
  <c r="P705" i="1"/>
  <c r="O705" i="1"/>
  <c r="P706" i="1"/>
  <c r="O706" i="1"/>
  <c r="P75" i="1"/>
  <c r="O75" i="1"/>
  <c r="P81" i="1"/>
  <c r="O81" i="1"/>
  <c r="P58" i="1"/>
  <c r="O58" i="1"/>
  <c r="P57" i="1"/>
  <c r="O57" i="1"/>
  <c r="P68" i="1"/>
  <c r="O68" i="1"/>
  <c r="P59" i="1"/>
  <c r="O59" i="1"/>
  <c r="P69" i="1"/>
  <c r="O69" i="1"/>
  <c r="P56" i="1"/>
  <c r="O56" i="1"/>
  <c r="P63" i="1"/>
  <c r="O63" i="1"/>
  <c r="P16" i="1"/>
  <c r="O16" i="1"/>
  <c r="P7" i="1"/>
  <c r="O7" i="1"/>
  <c r="P15" i="1"/>
  <c r="O15" i="1"/>
  <c r="P4" i="1"/>
  <c r="O4" i="1"/>
  <c r="P2" i="1"/>
  <c r="O2" i="1"/>
  <c r="P3" i="1"/>
  <c r="O3" i="1"/>
  <c r="P5" i="1"/>
  <c r="O5" i="1"/>
  <c r="P6" i="1"/>
  <c r="O6" i="1"/>
  <c r="P9" i="1"/>
  <c r="O9" i="1"/>
  <c r="P201" i="1"/>
  <c r="O201" i="1"/>
  <c r="P185" i="1"/>
  <c r="O185" i="1"/>
  <c r="P115" i="1"/>
  <c r="O115" i="1"/>
  <c r="P178" i="1"/>
  <c r="O178" i="1"/>
  <c r="P135" i="1"/>
  <c r="O135" i="1"/>
  <c r="P175" i="1"/>
  <c r="O175" i="1"/>
  <c r="P189" i="1"/>
  <c r="O189" i="1"/>
  <c r="P147" i="1"/>
  <c r="O147" i="1"/>
  <c r="P191" i="1"/>
  <c r="O191" i="1"/>
  <c r="P196" i="1"/>
  <c r="O196" i="1"/>
  <c r="P227" i="1"/>
  <c r="O227" i="1"/>
  <c r="P223" i="1"/>
  <c r="O223" i="1"/>
  <c r="P229" i="1"/>
  <c r="O229" i="1"/>
  <c r="P216" i="1"/>
  <c r="O216" i="1"/>
  <c r="P209" i="1"/>
  <c r="O209" i="1"/>
  <c r="P207" i="1"/>
  <c r="O207" i="1"/>
  <c r="P206" i="1"/>
  <c r="O206" i="1"/>
  <c r="P236" i="1"/>
  <c r="O236" i="1"/>
  <c r="P234" i="1"/>
  <c r="O234" i="1"/>
  <c r="Q234" i="1" s="1"/>
  <c r="P226" i="1"/>
  <c r="O226" i="1"/>
  <c r="P220" i="1"/>
  <c r="O220" i="1"/>
  <c r="P177" i="1"/>
  <c r="O177" i="1"/>
  <c r="P182" i="1"/>
  <c r="O182" i="1"/>
  <c r="P183" i="1"/>
  <c r="O183" i="1"/>
  <c r="P198" i="1"/>
  <c r="O198" i="1"/>
  <c r="P172" i="1"/>
  <c r="O172" i="1"/>
  <c r="P200" i="1"/>
  <c r="O200" i="1"/>
  <c r="P186" i="1"/>
  <c r="O186" i="1"/>
  <c r="P195" i="1"/>
  <c r="O195" i="1"/>
  <c r="P188" i="1"/>
  <c r="O188" i="1"/>
  <c r="P300" i="1"/>
  <c r="O300" i="1"/>
  <c r="P282" i="1"/>
  <c r="O282" i="1"/>
  <c r="P287" i="1"/>
  <c r="O287" i="1"/>
  <c r="P290" i="1"/>
  <c r="O290" i="1"/>
  <c r="P285" i="1"/>
  <c r="O285" i="1"/>
  <c r="P299" i="1"/>
  <c r="O299" i="1"/>
  <c r="P295" i="1"/>
  <c r="O295" i="1"/>
  <c r="P305" i="1"/>
  <c r="O305" i="1"/>
  <c r="P303" i="1"/>
  <c r="O303" i="1"/>
  <c r="Q303" i="1" s="1"/>
  <c r="P288" i="1"/>
  <c r="O288" i="1"/>
  <c r="P307" i="1"/>
  <c r="O307" i="1"/>
  <c r="P50" i="1"/>
  <c r="O50" i="1"/>
  <c r="P64" i="1"/>
  <c r="O64" i="1"/>
  <c r="P73" i="1"/>
  <c r="O73" i="1"/>
  <c r="P71" i="1"/>
  <c r="O71" i="1"/>
  <c r="P79" i="1"/>
  <c r="O79" i="1"/>
  <c r="P86" i="1"/>
  <c r="O86" i="1"/>
  <c r="P72" i="1"/>
  <c r="O72" i="1"/>
  <c r="P80" i="1"/>
  <c r="O80" i="1"/>
  <c r="P62" i="1"/>
  <c r="O62" i="1"/>
  <c r="P575" i="1"/>
  <c r="O575" i="1"/>
  <c r="P564" i="1"/>
  <c r="O564" i="1"/>
  <c r="P562" i="1"/>
  <c r="O562" i="1"/>
  <c r="P548" i="1"/>
  <c r="O548" i="1"/>
  <c r="P567" i="1"/>
  <c r="O567" i="1"/>
  <c r="P541" i="1"/>
  <c r="O541" i="1"/>
  <c r="P556" i="1"/>
  <c r="O556" i="1"/>
  <c r="P571" i="1"/>
  <c r="O571" i="1"/>
  <c r="P14" i="1"/>
  <c r="O14" i="1"/>
  <c r="P17" i="1"/>
  <c r="O17" i="1"/>
  <c r="P21" i="1"/>
  <c r="O21" i="1"/>
  <c r="P10" i="1"/>
  <c r="O10" i="1"/>
  <c r="P11" i="1"/>
  <c r="O11" i="1"/>
  <c r="P8" i="1"/>
  <c r="O8" i="1"/>
  <c r="P12" i="1"/>
  <c r="O12" i="1"/>
  <c r="P662" i="1"/>
  <c r="O662" i="1"/>
  <c r="P689" i="1"/>
  <c r="O689" i="1"/>
  <c r="P680" i="1"/>
  <c r="O680" i="1"/>
  <c r="P663" i="1"/>
  <c r="O663" i="1"/>
  <c r="P654" i="1"/>
  <c r="O654" i="1"/>
  <c r="P665" i="1"/>
  <c r="O665" i="1"/>
  <c r="P666" i="1"/>
  <c r="O666" i="1"/>
  <c r="P677" i="1"/>
  <c r="O677" i="1"/>
  <c r="P618" i="1"/>
  <c r="O618" i="1"/>
  <c r="P576" i="1"/>
  <c r="O576" i="1"/>
  <c r="P584" i="1"/>
  <c r="O584" i="1"/>
  <c r="P601" i="1"/>
  <c r="O601" i="1"/>
  <c r="P589" i="1"/>
  <c r="O589" i="1"/>
  <c r="P608" i="1"/>
  <c r="O608" i="1"/>
  <c r="Q608" i="1" s="1"/>
  <c r="P586" i="1"/>
  <c r="O586" i="1"/>
  <c r="P599" i="1"/>
  <c r="O599" i="1"/>
  <c r="P593" i="1"/>
  <c r="O593" i="1"/>
  <c r="P585" i="1"/>
  <c r="O585" i="1"/>
  <c r="P126" i="1"/>
  <c r="O126" i="1"/>
  <c r="P102" i="1"/>
  <c r="O102" i="1"/>
  <c r="P122" i="1"/>
  <c r="O122" i="1"/>
  <c r="P105" i="1"/>
  <c r="O105" i="1"/>
  <c r="P111" i="1"/>
  <c r="O111" i="1"/>
  <c r="P127" i="1"/>
  <c r="O127" i="1"/>
  <c r="P112" i="1"/>
  <c r="O112" i="1"/>
  <c r="P101" i="1"/>
  <c r="O101" i="1"/>
  <c r="P119" i="1"/>
  <c r="O119" i="1"/>
  <c r="P88" i="1"/>
  <c r="O88" i="1"/>
  <c r="P154" i="1"/>
  <c r="O154" i="1"/>
  <c r="P129" i="1"/>
  <c r="O129" i="1"/>
  <c r="P94" i="1"/>
  <c r="O94" i="1"/>
  <c r="P109" i="1"/>
  <c r="O109" i="1"/>
  <c r="P103" i="1"/>
  <c r="O103" i="1"/>
  <c r="P120" i="1"/>
  <c r="O120" i="1"/>
  <c r="P132" i="1"/>
  <c r="O132" i="1"/>
  <c r="P164" i="1"/>
  <c r="O164" i="1"/>
  <c r="Q215" i="1" l="1"/>
  <c r="Q317" i="1"/>
  <c r="Q372" i="1"/>
  <c r="Q580" i="1"/>
  <c r="Q266" i="1"/>
  <c r="Q235" i="1"/>
  <c r="Q655" i="1"/>
  <c r="Q358" i="1"/>
  <c r="Q95" i="1"/>
  <c r="Q103" i="1"/>
  <c r="Q111" i="1"/>
  <c r="Q589" i="1"/>
  <c r="Q571" i="1"/>
  <c r="Q236" i="1"/>
  <c r="Q707" i="1"/>
  <c r="Q466" i="1"/>
  <c r="Q549" i="1"/>
  <c r="Q391" i="1"/>
  <c r="Q409" i="1"/>
  <c r="Q279" i="1"/>
  <c r="Q474" i="1"/>
  <c r="Q607" i="1"/>
  <c r="Q430" i="1"/>
  <c r="Q585" i="1"/>
  <c r="Q83" i="1"/>
  <c r="Q461" i="1"/>
  <c r="Q527" i="1"/>
  <c r="Q563" i="1"/>
  <c r="Q486" i="1"/>
  <c r="Q388" i="1"/>
  <c r="Q145" i="1"/>
  <c r="Q144" i="1"/>
  <c r="Q157" i="1"/>
  <c r="Q496" i="1"/>
  <c r="Q481" i="1"/>
  <c r="Q462" i="1"/>
  <c r="Q438" i="1"/>
  <c r="Q419" i="1"/>
  <c r="Q354" i="1"/>
  <c r="Q98" i="1"/>
  <c r="Q579" i="1"/>
  <c r="Q636" i="1"/>
  <c r="Q630" i="1"/>
  <c r="Q129" i="1"/>
  <c r="Q102" i="1"/>
  <c r="Q576" i="1"/>
  <c r="Q12" i="1"/>
  <c r="Q567" i="1"/>
  <c r="Q4" i="1"/>
  <c r="Q58" i="1"/>
  <c r="Q686" i="1"/>
  <c r="Q346" i="1"/>
  <c r="Q250" i="1"/>
  <c r="Q136" i="1"/>
  <c r="Q465" i="1"/>
  <c r="Q521" i="1"/>
  <c r="Q105" i="1"/>
  <c r="Q689" i="1"/>
  <c r="Q86" i="1"/>
  <c r="Q200" i="1"/>
  <c r="Q189" i="1"/>
  <c r="Q68" i="1"/>
  <c r="Q350" i="1"/>
  <c r="Q121" i="1"/>
  <c r="Q561" i="1"/>
  <c r="Q508" i="1"/>
  <c r="Q565" i="1"/>
  <c r="Q505" i="1"/>
  <c r="Q245" i="1"/>
  <c r="Q210" i="1"/>
  <c r="Q657" i="1"/>
  <c r="Q162" i="1"/>
  <c r="Q399" i="1"/>
  <c r="Q449" i="1"/>
  <c r="Q612" i="1"/>
  <c r="Q374" i="1"/>
  <c r="Q311" i="1"/>
  <c r="Q531" i="1"/>
  <c r="Q43" i="1"/>
  <c r="Q690" i="1"/>
  <c r="Q353" i="1"/>
  <c r="Q473" i="1"/>
  <c r="Q482" i="1"/>
  <c r="Q237" i="1"/>
  <c r="Q36" i="1"/>
  <c r="Q320" i="1"/>
  <c r="Q675" i="1"/>
  <c r="Q642" i="1"/>
  <c r="Q644" i="1"/>
  <c r="Q133" i="1"/>
  <c r="Q125" i="1"/>
  <c r="Q435" i="1"/>
  <c r="Q406" i="1"/>
  <c r="Q404" i="1"/>
  <c r="Q205" i="1"/>
  <c r="Q514" i="1"/>
  <c r="Q464" i="1"/>
  <c r="Q422" i="1"/>
  <c r="Q359" i="1"/>
  <c r="Q35" i="1"/>
  <c r="Q634" i="1"/>
  <c r="Q233" i="1"/>
  <c r="Q164" i="1"/>
  <c r="Q101" i="1"/>
  <c r="Q599" i="1"/>
  <c r="Q665" i="1"/>
  <c r="Q21" i="1"/>
  <c r="Q575" i="1"/>
  <c r="Q702" i="1"/>
  <c r="Q254" i="1"/>
  <c r="Q248" i="1"/>
  <c r="Q653" i="1"/>
  <c r="Q283" i="1"/>
  <c r="Q700" i="1"/>
  <c r="Q568" i="1"/>
  <c r="Q542" i="1"/>
  <c r="Q583" i="1"/>
  <c r="Q492" i="1"/>
  <c r="Q29" i="1"/>
  <c r="Q534" i="1"/>
  <c r="Q523" i="1"/>
  <c r="Q389" i="1"/>
  <c r="Q551" i="1"/>
  <c r="Q263" i="1"/>
  <c r="Q154" i="1"/>
  <c r="Q126" i="1"/>
  <c r="Q618" i="1"/>
  <c r="Q548" i="1"/>
  <c r="Q178" i="1"/>
  <c r="Q81" i="1"/>
  <c r="Q694" i="1"/>
  <c r="Q351" i="1"/>
  <c r="Q471" i="1"/>
  <c r="Q506" i="1"/>
  <c r="Q380" i="1"/>
  <c r="Q524" i="1"/>
  <c r="Q497" i="1"/>
  <c r="Q484" i="1"/>
  <c r="Q138" i="1"/>
  <c r="Q467" i="1"/>
  <c r="Q487" i="1"/>
  <c r="Q180" i="1"/>
  <c r="Q588" i="1"/>
  <c r="Q646" i="1"/>
  <c r="Q247" i="1"/>
  <c r="Q242" i="1"/>
  <c r="Q193" i="1"/>
  <c r="Q137" i="1"/>
  <c r="Q553" i="1"/>
  <c r="Q543" i="1"/>
  <c r="Q390" i="1"/>
  <c r="Q517" i="1"/>
  <c r="Q510" i="1"/>
  <c r="Q516" i="1"/>
  <c r="Q3" i="1"/>
  <c r="Q491" i="1"/>
  <c r="Q416" i="1"/>
  <c r="Q504" i="1"/>
  <c r="Q603" i="1"/>
  <c r="Q159" i="1"/>
  <c r="Q525" i="1"/>
  <c r="Q437" i="1"/>
  <c r="Q41" i="1"/>
  <c r="Q699" i="1"/>
  <c r="Q67" i="1"/>
  <c r="Q246" i="1"/>
  <c r="Q96" i="1"/>
  <c r="Q682" i="1"/>
  <c r="Q658" i="1"/>
  <c r="Q684" i="1"/>
  <c r="Q116" i="1"/>
  <c r="Q328" i="1"/>
  <c r="Q331" i="1"/>
  <c r="Q326" i="1"/>
  <c r="Q369" i="1"/>
  <c r="Q25" i="1"/>
  <c r="Q323" i="1"/>
  <c r="Q397" i="1"/>
  <c r="Q78" i="1"/>
  <c r="Q11" i="1"/>
  <c r="Q562" i="1"/>
  <c r="Q115" i="1"/>
  <c r="Q75" i="1"/>
  <c r="Q683" i="1"/>
  <c r="Q349" i="1"/>
  <c r="Q231" i="1"/>
  <c r="Q710" i="1"/>
  <c r="Q244" i="1"/>
  <c r="Q77" i="1"/>
  <c r="Q309" i="1"/>
  <c r="Q131" i="1"/>
  <c r="Q456" i="1"/>
  <c r="Q396" i="1"/>
  <c r="Q594" i="1"/>
  <c r="Q341" i="1"/>
  <c r="Q333" i="1"/>
  <c r="Q321" i="1"/>
  <c r="Q18" i="1"/>
  <c r="Q222" i="1"/>
  <c r="Q672" i="1"/>
  <c r="Q140" i="1"/>
  <c r="Q593" i="1"/>
  <c r="Q666" i="1"/>
  <c r="Q10" i="1"/>
  <c r="Q564" i="1"/>
  <c r="Q185" i="1"/>
  <c r="Q688" i="1"/>
  <c r="Q214" i="1"/>
  <c r="Q631" i="1"/>
  <c r="Q670" i="1"/>
  <c r="Q450" i="1"/>
  <c r="Q408" i="1"/>
  <c r="Q436" i="1"/>
  <c r="Q625" i="1"/>
  <c r="Q596" i="1"/>
  <c r="Q330" i="1"/>
  <c r="Q582" i="1"/>
  <c r="Q520" i="1"/>
  <c r="Q365" i="1"/>
  <c r="Q22" i="1"/>
  <c r="Q271" i="1"/>
  <c r="Q546" i="1"/>
  <c r="Q535" i="1"/>
  <c r="Q529" i="1"/>
  <c r="Q383" i="1"/>
  <c r="Q156" i="1"/>
  <c r="Q620" i="1"/>
  <c r="Q687" i="1"/>
  <c r="Q395" i="1"/>
  <c r="Q230" i="1"/>
  <c r="Q590" i="1"/>
  <c r="Q265" i="1"/>
  <c r="Q622" i="1"/>
  <c r="Q598" i="1"/>
  <c r="Q364" i="1"/>
  <c r="Q24" i="1"/>
  <c r="Q300" i="1"/>
  <c r="Q183" i="1"/>
  <c r="Q88" i="1"/>
  <c r="Q63" i="1"/>
  <c r="Q9" i="1"/>
  <c r="Q692" i="1"/>
  <c r="Q704" i="1"/>
  <c r="Q253" i="1"/>
  <c r="Q306" i="1"/>
  <c r="Q673" i="1"/>
  <c r="Q208" i="1"/>
  <c r="Q623" i="1"/>
  <c r="Q446" i="1"/>
  <c r="Q410" i="1"/>
  <c r="Q402" i="1"/>
  <c r="Q218" i="1"/>
  <c r="Q610" i="1"/>
  <c r="Q340" i="1"/>
  <c r="Q318" i="1"/>
  <c r="Q557" i="1"/>
  <c r="Q555" i="1"/>
  <c r="Q366" i="1"/>
  <c r="Q288" i="1"/>
  <c r="Q188" i="1"/>
  <c r="Q226" i="1"/>
  <c r="Q196" i="1"/>
  <c r="Q243" i="1"/>
  <c r="Q650" i="1"/>
  <c r="Q203" i="1"/>
  <c r="Q298" i="1"/>
  <c r="Q284" i="1"/>
  <c r="Q381" i="1"/>
  <c r="Q37" i="1"/>
  <c r="Q139" i="1"/>
  <c r="Q519" i="1"/>
  <c r="Q23" i="1"/>
  <c r="Q515" i="1"/>
  <c r="Q681" i="1"/>
  <c r="Q577" i="1"/>
  <c r="Q367" i="1"/>
  <c r="Q224" i="1"/>
  <c r="Q640" i="1"/>
  <c r="Q544" i="1"/>
  <c r="Q228" i="1"/>
  <c r="Q26" i="1"/>
  <c r="Q361" i="1"/>
  <c r="Q629" i="1"/>
  <c r="Q426" i="1"/>
  <c r="Q147" i="1"/>
  <c r="Q148" i="1"/>
  <c r="Q556" i="1"/>
  <c r="Q698" i="1"/>
  <c r="Q94" i="1"/>
  <c r="Q122" i="1"/>
  <c r="Q584" i="1"/>
  <c r="Q541" i="1"/>
  <c r="Q668" i="1"/>
  <c r="Q674" i="1"/>
  <c r="Q118" i="1"/>
  <c r="Q445" i="1"/>
  <c r="Q407" i="1"/>
  <c r="Q602" i="1"/>
  <c r="Q569" i="1"/>
  <c r="Q379" i="1"/>
  <c r="Q337" i="1"/>
  <c r="Q327" i="1"/>
  <c r="Q324" i="1"/>
  <c r="Q368" i="1"/>
  <c r="Q30" i="1"/>
  <c r="Q633" i="1"/>
  <c r="Q355" i="1"/>
  <c r="Q90" i="1"/>
  <c r="Q573" i="1"/>
  <c r="Q27" i="1"/>
  <c r="Q255" i="1"/>
  <c r="Q79" i="1"/>
  <c r="Q299" i="1"/>
  <c r="Q172" i="1"/>
  <c r="Q207" i="1"/>
  <c r="Q273" i="1"/>
  <c r="Q296" i="1"/>
  <c r="Q292" i="1"/>
  <c r="Q158" i="1"/>
  <c r="Q166" i="1"/>
  <c r="Q153" i="1"/>
  <c r="Q483" i="1"/>
  <c r="Q123" i="1"/>
  <c r="Q274" i="1"/>
  <c r="Q61" i="1"/>
  <c r="Q338" i="1"/>
  <c r="Q71" i="1"/>
  <c r="Q285" i="1"/>
  <c r="Q198" i="1"/>
  <c r="Q209" i="1"/>
  <c r="Q2" i="1"/>
  <c r="Q697" i="1"/>
  <c r="Q578" i="1"/>
  <c r="Q110" i="1"/>
  <c r="Q691" i="1"/>
  <c r="Q384" i="1"/>
  <c r="Q51" i="1"/>
  <c r="Q113" i="1"/>
  <c r="Q150" i="1"/>
  <c r="Q165" i="1"/>
  <c r="Q108" i="1"/>
  <c r="Q411" i="1"/>
  <c r="Q441" i="1"/>
  <c r="Q269" i="1"/>
  <c r="Q621" i="1"/>
  <c r="Q92" i="1"/>
  <c r="Q70" i="1"/>
  <c r="Q609" i="1"/>
  <c r="Q8" i="1"/>
  <c r="Q73" i="1"/>
  <c r="Q290" i="1"/>
  <c r="Q256" i="1"/>
  <c r="Q192" i="1"/>
  <c r="Q530" i="1"/>
  <c r="Q181" i="1"/>
  <c r="Q151" i="1"/>
  <c r="Q458" i="1"/>
  <c r="Q44" i="1"/>
  <c r="Q376" i="1"/>
  <c r="Q329" i="1"/>
  <c r="Q619" i="1"/>
  <c r="Q574" i="1"/>
  <c r="Q624" i="1"/>
  <c r="Q114" i="1"/>
  <c r="Q182" i="1"/>
  <c r="Q229" i="1"/>
  <c r="Q15" i="1"/>
  <c r="Q617" i="1"/>
  <c r="Q176" i="1"/>
  <c r="Q711" i="1"/>
  <c r="Q540" i="1"/>
  <c r="Q499" i="1"/>
  <c r="Q32" i="1"/>
  <c r="Q60" i="1"/>
  <c r="Q638" i="1"/>
  <c r="Q637" i="1"/>
  <c r="Q417" i="1"/>
  <c r="Q454" i="1"/>
  <c r="Q282" i="1"/>
  <c r="Q177" i="1"/>
  <c r="Q7" i="1"/>
  <c r="Q643" i="1"/>
  <c r="Q146" i="1"/>
  <c r="Q294" i="1"/>
  <c r="Q280" i="1"/>
  <c r="Q703" i="1"/>
  <c r="Q572" i="1"/>
  <c r="Q45" i="1"/>
  <c r="Q142" i="1"/>
  <c r="Q478" i="1"/>
  <c r="Q302" i="1"/>
  <c r="Q152" i="1"/>
  <c r="Q54" i="1"/>
  <c r="Q660" i="1"/>
  <c r="Q66" i="1"/>
  <c r="Q307" i="1"/>
  <c r="Q220" i="1"/>
  <c r="Q227" i="1"/>
  <c r="Q16" i="1"/>
  <c r="Q134" i="1"/>
  <c r="Q275" i="1"/>
  <c r="Q301" i="1"/>
  <c r="Q128" i="1"/>
  <c r="Q480" i="1"/>
  <c r="Q217" i="1"/>
  <c r="Q418" i="1"/>
  <c r="Q377" i="1"/>
  <c r="Q663" i="1"/>
  <c r="Q132" i="1"/>
  <c r="Q112" i="1"/>
  <c r="Q586" i="1"/>
  <c r="Q654" i="1"/>
  <c r="Q17" i="1"/>
  <c r="Q62" i="1"/>
  <c r="Q201" i="1"/>
  <c r="Q262" i="1"/>
  <c r="Q160" i="1"/>
  <c r="Q472" i="1"/>
  <c r="Q536" i="1"/>
  <c r="Q533" i="1"/>
  <c r="Q507" i="1"/>
  <c r="Q498" i="1"/>
  <c r="Q509" i="1"/>
  <c r="Q304" i="1"/>
  <c r="Q241" i="1"/>
  <c r="Q693" i="1"/>
  <c r="Q334" i="1"/>
  <c r="Q342" i="1"/>
  <c r="Q547" i="1"/>
  <c r="Q550" i="1"/>
  <c r="Q20" i="1"/>
  <c r="Q213" i="1"/>
  <c r="Q639" i="1"/>
  <c r="Q429" i="1"/>
  <c r="Q421" i="1"/>
  <c r="Q356" i="1"/>
  <c r="Q38" i="1"/>
  <c r="Q676" i="1"/>
  <c r="Q48" i="1"/>
  <c r="Q310" i="1"/>
  <c r="Q319" i="1"/>
  <c r="Q659" i="1"/>
  <c r="Q641" i="1"/>
  <c r="Q191" i="1"/>
  <c r="Q260" i="1"/>
  <c r="Q632" i="1"/>
  <c r="Q179" i="1"/>
  <c r="Q476" i="1"/>
  <c r="Q512" i="1"/>
  <c r="Q558" i="1"/>
  <c r="Q387" i="1"/>
  <c r="Q40" i="1"/>
  <c r="Q169" i="1"/>
  <c r="Q485" i="1"/>
  <c r="Q475" i="1"/>
  <c r="Q314" i="1"/>
  <c r="Q221" i="1"/>
  <c r="Q645" i="1"/>
  <c r="Q679" i="1"/>
  <c r="Q405" i="1"/>
  <c r="Q432" i="1"/>
  <c r="Q604" i="1"/>
  <c r="Q276" i="1"/>
  <c r="Q325" i="1"/>
  <c r="Q560" i="1"/>
  <c r="Q370" i="1"/>
  <c r="Q19" i="1"/>
  <c r="Q420" i="1"/>
  <c r="Q415" i="1"/>
  <c r="Q357" i="1"/>
  <c r="Q99" i="1"/>
  <c r="Q592" i="1"/>
  <c r="Q28" i="1"/>
  <c r="Q322" i="1"/>
  <c r="Q127" i="1"/>
  <c r="Q600" i="1"/>
  <c r="Q259" i="1"/>
  <c r="Q64" i="1"/>
  <c r="Q206" i="1"/>
  <c r="Q706" i="1"/>
  <c r="Q581" i="1"/>
  <c r="Q91" i="1"/>
  <c r="Q281" i="1"/>
  <c r="Q696" i="1"/>
  <c r="Q392" i="1"/>
  <c r="Q538" i="1"/>
  <c r="Q526" i="1"/>
  <c r="Q143" i="1"/>
  <c r="Q522" i="1"/>
  <c r="Q252" i="1"/>
  <c r="Q308" i="1"/>
  <c r="Q170" i="1"/>
  <c r="Q130" i="1"/>
  <c r="Q393" i="1"/>
  <c r="Q375" i="1"/>
  <c r="Q344" i="1"/>
  <c r="Q313" i="1"/>
  <c r="Q595" i="1"/>
  <c r="Q190" i="1"/>
  <c r="Q613" i="1"/>
  <c r="Q616" i="1"/>
  <c r="Q42" i="1"/>
  <c r="Q489" i="1"/>
  <c r="Q332" i="1"/>
  <c r="Q163" i="1"/>
  <c r="Q601" i="1"/>
  <c r="Q680" i="1"/>
  <c r="Q50" i="1"/>
  <c r="Q6" i="1"/>
  <c r="Q56" i="1"/>
  <c r="Q705" i="1"/>
  <c r="Q173" i="1"/>
  <c r="Q89" i="1"/>
  <c r="Q278" i="1"/>
  <c r="Q552" i="1"/>
  <c r="Q385" i="1"/>
  <c r="Q537" i="1"/>
  <c r="Q518" i="1"/>
  <c r="Q532" i="1"/>
  <c r="Q258" i="1"/>
  <c r="Q635" i="1"/>
  <c r="Q167" i="1"/>
  <c r="Q171" i="1"/>
  <c r="Q587" i="1"/>
  <c r="Q371" i="1"/>
  <c r="Q345" i="1"/>
  <c r="Q33" i="1"/>
  <c r="Q554" i="1"/>
  <c r="Q194" i="1"/>
  <c r="Q76" i="1"/>
  <c r="Q195" i="1"/>
  <c r="Q513" i="1"/>
  <c r="Q14" i="1"/>
  <c r="Q287" i="1"/>
  <c r="Q5" i="1"/>
  <c r="Q701" i="1"/>
  <c r="Q238" i="1"/>
  <c r="Q272" i="1"/>
  <c r="Q566" i="1"/>
  <c r="Q488" i="1"/>
  <c r="Q155" i="1"/>
  <c r="Q39" i="1"/>
  <c r="Q219" i="1"/>
  <c r="Q444" i="1"/>
  <c r="Q614" i="1"/>
  <c r="Q611" i="1"/>
  <c r="Q469" i="1"/>
  <c r="Q34" i="1"/>
  <c r="Q412" i="1"/>
  <c r="Q360" i="1"/>
  <c r="Q649" i="1"/>
  <c r="Q175" i="1"/>
  <c r="Q69" i="1"/>
  <c r="Q249" i="1"/>
  <c r="Q251" i="1"/>
  <c r="Q174" i="1"/>
  <c r="Q291" i="1"/>
  <c r="Q709" i="1"/>
  <c r="Q539" i="1"/>
  <c r="Q386" i="1"/>
  <c r="Q494" i="1"/>
  <c r="Q479" i="1"/>
  <c r="Q149" i="1"/>
  <c r="Q501" i="1"/>
  <c r="Q87" i="1"/>
  <c r="Q297" i="1"/>
  <c r="Q204" i="1"/>
  <c r="Q671" i="1"/>
  <c r="Q451" i="1"/>
  <c r="Q394" i="1"/>
  <c r="Q440" i="1"/>
  <c r="Q270" i="1"/>
  <c r="Q339" i="1"/>
  <c r="Q315" i="1"/>
  <c r="Q559" i="1"/>
  <c r="Q13" i="1"/>
  <c r="Q470" i="1"/>
  <c r="Q615" i="1"/>
  <c r="Q448" i="1"/>
  <c r="Q100" i="1"/>
  <c r="Q47" i="1"/>
  <c r="Q348" i="1"/>
  <c r="Q401" i="1"/>
  <c r="Q186" i="1"/>
  <c r="Q109" i="1"/>
  <c r="Q545" i="1"/>
  <c r="Q295" i="1"/>
  <c r="Q651" i="1"/>
  <c r="Q708" i="1"/>
  <c r="Q119" i="1"/>
  <c r="Q662" i="1"/>
  <c r="Q80" i="1"/>
  <c r="Q216" i="1"/>
  <c r="Q135" i="1"/>
  <c r="Q59" i="1"/>
  <c r="Q267" i="1"/>
  <c r="Q168" i="1"/>
  <c r="Q277" i="1"/>
  <c r="Q678" i="1"/>
  <c r="Q511" i="1"/>
  <c r="Q502" i="1"/>
  <c r="Q49" i="1"/>
  <c r="Q240" i="1"/>
  <c r="Q82" i="1"/>
  <c r="Q312" i="1"/>
  <c r="Q141" i="1"/>
  <c r="Q400" i="1"/>
  <c r="Q398" i="1"/>
  <c r="Q373" i="1"/>
  <c r="Q335" i="1"/>
  <c r="Q316" i="1"/>
  <c r="Q605" i="1"/>
  <c r="Q455" i="1"/>
  <c r="Q626" i="1"/>
  <c r="Q55" i="1"/>
  <c r="Q434" i="1"/>
  <c r="Q107" i="1"/>
  <c r="Q124" i="1"/>
  <c r="Q382" i="1"/>
  <c r="Q528" i="1"/>
  <c r="Q503" i="1"/>
  <c r="Q232" i="1"/>
  <c r="Q656" i="1"/>
  <c r="Q117" i="1"/>
  <c r="Q264" i="1"/>
  <c r="Q378" i="1"/>
  <c r="Q570" i="1"/>
  <c r="Q495" i="1"/>
  <c r="Q84" i="1"/>
  <c r="Q452" i="1"/>
  <c r="Q413" i="1"/>
  <c r="Q447" i="1"/>
  <c r="Q72" i="1"/>
  <c r="Q493" i="1"/>
  <c r="Q52" i="1"/>
  <c r="Q463" i="1"/>
  <c r="Q343" i="1"/>
  <c r="Q202" i="1"/>
  <c r="Q261" i="1"/>
  <c r="Q293" i="1"/>
  <c r="Q257" i="1"/>
  <c r="Q289" i="1"/>
  <c r="Q120" i="1"/>
  <c r="Q677" i="1"/>
  <c r="Q305" i="1"/>
  <c r="Q223" i="1"/>
  <c r="Q57" i="1"/>
  <c r="Q347" i="1"/>
  <c r="Q667" i="1"/>
  <c r="Q286" i="1"/>
  <c r="Q490" i="1"/>
  <c r="Q500" i="1"/>
  <c r="Q161" i="1"/>
  <c r="Q106" i="1"/>
  <c r="Q648" i="1"/>
  <c r="Q459" i="1"/>
  <c r="Q628" i="1"/>
  <c r="Q336" i="1"/>
  <c r="Q363" i="1"/>
  <c r="Q184" i="1"/>
  <c r="Q428" i="1"/>
  <c r="Q65" i="1"/>
</calcChain>
</file>

<file path=xl/sharedStrings.xml><?xml version="1.0" encoding="utf-8"?>
<sst xmlns="http://schemas.openxmlformats.org/spreadsheetml/2006/main" count="8961" uniqueCount="2840">
  <si>
    <t>fid</t>
  </si>
  <si>
    <t>GID_2</t>
  </si>
  <si>
    <t>GID_0</t>
  </si>
  <si>
    <t>COUNTRY</t>
  </si>
  <si>
    <t>GID_1</t>
  </si>
  <si>
    <t>NAME_1</t>
  </si>
  <si>
    <t>NAME_2</t>
  </si>
  <si>
    <t>VARNAME_2</t>
  </si>
  <si>
    <t>TYPE_2</t>
  </si>
  <si>
    <t>ENGTYPE_2</t>
  </si>
  <si>
    <t>latitude</t>
  </si>
  <si>
    <t>longitude</t>
  </si>
  <si>
    <t>NewName</t>
  </si>
  <si>
    <t>Province</t>
  </si>
  <si>
    <t>VNM.1.1_1</t>
  </si>
  <si>
    <t>VNM</t>
  </si>
  <si>
    <t>Vietnam</t>
  </si>
  <si>
    <t>VNM.1_1</t>
  </si>
  <si>
    <t>An Giang</t>
  </si>
  <si>
    <t>An Phú</t>
  </si>
  <si>
    <t>An Phu</t>
  </si>
  <si>
    <t>Huyện</t>
  </si>
  <si>
    <t>District</t>
  </si>
  <si>
    <t>Phú Hữu</t>
  </si>
  <si>
    <t>VNM.1.3_1</t>
  </si>
  <si>
    <t>Châu Đốc</t>
  </si>
  <si>
    <t>Chau Doc</t>
  </si>
  <si>
    <t>Thành phố</t>
  </si>
  <si>
    <t>City</t>
  </si>
  <si>
    <t>Vĩnh Tế</t>
  </si>
  <si>
    <t>VNM.1.4_1</t>
  </si>
  <si>
    <t>Châu Phú</t>
  </si>
  <si>
    <t>Chau Phu</t>
  </si>
  <si>
    <t>Thạnh Mỹ Tây</t>
  </si>
  <si>
    <t>VNM.1.5_1</t>
  </si>
  <si>
    <t>Châu Thành</t>
  </si>
  <si>
    <t>Chau Thanh</t>
  </si>
  <si>
    <t>Vĩnh Hanh</t>
  </si>
  <si>
    <t>VNM.1.2_1</t>
  </si>
  <si>
    <t>Chợ Mới</t>
  </si>
  <si>
    <t>Cho Moi</t>
  </si>
  <si>
    <t>Long Kiến</t>
  </si>
  <si>
    <t>VNM.1.6_1</t>
  </si>
  <si>
    <t>Long Xuyên</t>
  </si>
  <si>
    <t>Long Xuyen</t>
  </si>
  <si>
    <t>Mỹ Bình</t>
  </si>
  <si>
    <t>VNM.1.7_1</t>
  </si>
  <si>
    <t>Phú Tân</t>
  </si>
  <si>
    <t>Phu Tan</t>
  </si>
  <si>
    <t>Chợ Vàm</t>
  </si>
  <si>
    <t>VNM.1.9_1</t>
  </si>
  <si>
    <t>Tân Châu</t>
  </si>
  <si>
    <t>Tan Chau</t>
  </si>
  <si>
    <t>Thị xã</t>
  </si>
  <si>
    <t>Town</t>
  </si>
  <si>
    <t>Tân An</t>
  </si>
  <si>
    <t>VNM.1.10_1</t>
  </si>
  <si>
    <t>Thoại Sơn</t>
  </si>
  <si>
    <t>Thoai Son</t>
  </si>
  <si>
    <t>Định Mỹ</t>
  </si>
  <si>
    <t>VNM.1.8_1</t>
  </si>
  <si>
    <t>Tịnh Biên</t>
  </si>
  <si>
    <t>Tinh Bien</t>
  </si>
  <si>
    <t>An Cư</t>
  </si>
  <si>
    <t>VNM.1.11_1</t>
  </si>
  <si>
    <t>Tri Tôn</t>
  </si>
  <si>
    <t>Tri Ton</t>
  </si>
  <si>
    <t>Ô Lâm</t>
  </si>
  <si>
    <t>VNM.7.1_1</t>
  </si>
  <si>
    <t>VNM.7_1</t>
  </si>
  <si>
    <t>Bà Rịa - Vũng Tàu</t>
  </si>
  <si>
    <t>Bà Rịa</t>
  </si>
  <si>
    <t>Ba Ria</t>
  </si>
  <si>
    <t>Hồ Chí Minh</t>
  </si>
  <si>
    <t>VNM.7.2_1</t>
  </si>
  <si>
    <t>Châu Đức</t>
  </si>
  <si>
    <t>Chau Duc</t>
  </si>
  <si>
    <t>Ngãi Giao</t>
  </si>
  <si>
    <t>VNM.7.3_1</t>
  </si>
  <si>
    <t>Đất Đỏ</t>
  </si>
  <si>
    <t>Dat Do</t>
  </si>
  <si>
    <t>VNM.7.4_1</t>
  </si>
  <si>
    <t>Long Điền</t>
  </si>
  <si>
    <t>Long Dien</t>
  </si>
  <si>
    <t>VNM.7.5_1</t>
  </si>
  <si>
    <t>Tân Thành</t>
  </si>
  <si>
    <t>Tan Thanh</t>
  </si>
  <si>
    <t>Tân Phước</t>
  </si>
  <si>
    <t>VNM.7.6_1</t>
  </si>
  <si>
    <t>Vũng Tàu</t>
  </si>
  <si>
    <t>Vung Tau</t>
  </si>
  <si>
    <t>Long Sơn</t>
  </si>
  <si>
    <t>VNM.7.7_1</t>
  </si>
  <si>
    <t>Xuyên Mộc</t>
  </si>
  <si>
    <t>Xuyen Moc</t>
  </si>
  <si>
    <t>Hoà Hội</t>
  </si>
  <si>
    <t>VNM.3.1_1</t>
  </si>
  <si>
    <t>VNM.3_1</t>
  </si>
  <si>
    <t>Bắc Giang</t>
  </si>
  <si>
    <t>Bac Giang</t>
  </si>
  <si>
    <t>Bắc Ninh</t>
  </si>
  <si>
    <t>VNM.3.2_1</t>
  </si>
  <si>
    <t>Hiệp Hòa</t>
  </si>
  <si>
    <t>Hiep Hoa</t>
  </si>
  <si>
    <t>Hợp Thịnh</t>
  </si>
  <si>
    <t>VNM.3.3_1</t>
  </si>
  <si>
    <t>Lạng Giang</t>
  </si>
  <si>
    <t>Lang Giang</t>
  </si>
  <si>
    <t>VNM.3.4_1</t>
  </si>
  <si>
    <t>Lục Nam</t>
  </si>
  <si>
    <t>Luc Nam</t>
  </si>
  <si>
    <t>Nghĩa Phương</t>
  </si>
  <si>
    <t>VNM.3.5_1</t>
  </si>
  <si>
    <t>Lục Ngạn</t>
  </si>
  <si>
    <t>Luc Ngan</t>
  </si>
  <si>
    <t>Biên Sơn</t>
  </si>
  <si>
    <t>VNM.3.6_1</t>
  </si>
  <si>
    <t>Sơn Động</t>
  </si>
  <si>
    <t>Son Dong</t>
  </si>
  <si>
    <t>VNM.3.7_1</t>
  </si>
  <si>
    <t>Tân Yên</t>
  </si>
  <si>
    <t>Tan Yen</t>
  </si>
  <si>
    <t>VNM.3.8_1</t>
  </si>
  <si>
    <t>Việt Yên</t>
  </si>
  <si>
    <t>Viet Yen</t>
  </si>
  <si>
    <t>VNM.3.9_1</t>
  </si>
  <si>
    <t>Yên Dũng</t>
  </si>
  <si>
    <t>Yen Dung</t>
  </si>
  <si>
    <t>Cảnh Thuỵ</t>
  </si>
  <si>
    <t>VNM.3.10_1</t>
  </si>
  <si>
    <t>Yên Thế</t>
  </si>
  <si>
    <t>Yen The</t>
  </si>
  <si>
    <t>Đồng Kỳ</t>
  </si>
  <si>
    <t>VNM.4.2_1</t>
  </si>
  <si>
    <t>VNM.4_1</t>
  </si>
  <si>
    <t>Bắc Kạn</t>
  </si>
  <si>
    <t>Ba Bể</t>
  </si>
  <si>
    <t>Ba Be</t>
  </si>
  <si>
    <t>Chợ Rã</t>
  </si>
  <si>
    <t>Thái Nguyên</t>
  </si>
  <si>
    <t>VNM.4.1_1</t>
  </si>
  <si>
    <t>Bạch Thông</t>
  </si>
  <si>
    <t>Bach Thong</t>
  </si>
  <si>
    <t>Cẩm Giàng</t>
  </si>
  <si>
    <t>VNM.4.3_1</t>
  </si>
  <si>
    <t>Chợ Đồn</t>
  </si>
  <si>
    <t>Cho Don</t>
  </si>
  <si>
    <t>VNM.4.4_1</t>
  </si>
  <si>
    <t>Thanh Thịnh</t>
  </si>
  <si>
    <t>VNM.4.5_1</t>
  </si>
  <si>
    <t>Na Rì</t>
  </si>
  <si>
    <t>Na Ri</t>
  </si>
  <si>
    <t>Trần Phú</t>
  </si>
  <si>
    <t>VNM.4.6_1</t>
  </si>
  <si>
    <t>Ngân Sơn</t>
  </si>
  <si>
    <t>Ngan Son</t>
  </si>
  <si>
    <t>VNM.4.7_1</t>
  </si>
  <si>
    <t>Pác Nặm</t>
  </si>
  <si>
    <t>Pac Nam</t>
  </si>
  <si>
    <t>Bằng Thành</t>
  </si>
  <si>
    <t>VNM.4.8_1</t>
  </si>
  <si>
    <t>Thành Phố Bắc Kạn</t>
  </si>
  <si>
    <t>Bac Kan</t>
  </si>
  <si>
    <t>Đức Xuân</t>
  </si>
  <si>
    <t>VNM.2.1_1</t>
  </si>
  <si>
    <t>VNM.2_1</t>
  </si>
  <si>
    <t>Bạc Liêu</t>
  </si>
  <si>
    <t>Bac Lieu</t>
  </si>
  <si>
    <t>Vĩnh Trạch</t>
  </si>
  <si>
    <t>Cà Mau</t>
  </si>
  <si>
    <t>VNM.2.2_1</t>
  </si>
  <si>
    <t>Đông Hải</t>
  </si>
  <si>
    <t>Dong Hai</t>
  </si>
  <si>
    <t>VNM.2.3_1</t>
  </si>
  <si>
    <t>Giá Rai</t>
  </si>
  <si>
    <t>Gia Rai</t>
  </si>
  <si>
    <t>VNM.2.5_1</t>
  </si>
  <si>
    <t>Hoà Bình</t>
  </si>
  <si>
    <t>Hoa Binh</t>
  </si>
  <si>
    <t>VNM.2.4_1</t>
  </si>
  <si>
    <t>Hồng Dân</t>
  </si>
  <si>
    <t>Hong Dan</t>
  </si>
  <si>
    <t>VNM.2.6_1</t>
  </si>
  <si>
    <t>Phước Long</t>
  </si>
  <si>
    <t>Phuoc Long</t>
  </si>
  <si>
    <t>Vĩnh Phước</t>
  </si>
  <si>
    <t>VNM.2.7_1</t>
  </si>
  <si>
    <t>Vĩnh Lợi</t>
  </si>
  <si>
    <t>Vinh Loi</t>
  </si>
  <si>
    <t>VNM.5.1_1</t>
  </si>
  <si>
    <t>VNM.5_1</t>
  </si>
  <si>
    <t>Bac Ninh</t>
  </si>
  <si>
    <t>Võ Cường</t>
  </si>
  <si>
    <t>VNM.5.2_1</t>
  </si>
  <si>
    <t>Gia Bình</t>
  </si>
  <si>
    <t>Gia Binh</t>
  </si>
  <si>
    <t>VNM.5.3_1</t>
  </si>
  <si>
    <t>Lương Tài</t>
  </si>
  <si>
    <t>Luong Tai</t>
  </si>
  <si>
    <t>Trung Chính</t>
  </si>
  <si>
    <t>VNM.5.4_1</t>
  </si>
  <si>
    <t>Quế Võ</t>
  </si>
  <si>
    <t>Que Vo</t>
  </si>
  <si>
    <t>VNM.5.6_1</t>
  </si>
  <si>
    <t>Thuận Thành</t>
  </si>
  <si>
    <t>Thuan Thanh</t>
  </si>
  <si>
    <t>VNM.5.7_1</t>
  </si>
  <si>
    <t>Tiên Du</t>
  </si>
  <si>
    <t>Tien Du</t>
  </si>
  <si>
    <t>Liên Bảo</t>
  </si>
  <si>
    <t>VNM.5.5_1</t>
  </si>
  <si>
    <t>Từ Sơn</t>
  </si>
  <si>
    <t>Tu Son</t>
  </si>
  <si>
    <t>Đồng Nguyên</t>
  </si>
  <si>
    <t>VNM.5.8_1</t>
  </si>
  <si>
    <t>Yên Phong</t>
  </si>
  <si>
    <t>Yen Phong</t>
  </si>
  <si>
    <t>VNM.6.2_1</t>
  </si>
  <si>
    <t>VNM.6_1</t>
  </si>
  <si>
    <t>Bến Tre</t>
  </si>
  <si>
    <t>Ba Tri</t>
  </si>
  <si>
    <t>Vĩnh Long</t>
  </si>
  <si>
    <t>VNM.6.1_1</t>
  </si>
  <si>
    <t>Ben Tre</t>
  </si>
  <si>
    <t>An Hội</t>
  </si>
  <si>
    <t>VNM.6.3_1</t>
  </si>
  <si>
    <t>Bình Đại</t>
  </si>
  <si>
    <t>Binh Dai</t>
  </si>
  <si>
    <t>Thanh Trị</t>
  </si>
  <si>
    <t>VNM.6.5_1</t>
  </si>
  <si>
    <t>Phú Túc</t>
  </si>
  <si>
    <t>VNM.6.4_1</t>
  </si>
  <si>
    <t>Chợ Lách</t>
  </si>
  <si>
    <t>Cho Lach</t>
  </si>
  <si>
    <t>VNM.6.6_1</t>
  </si>
  <si>
    <t>Giồng Trôm</t>
  </si>
  <si>
    <t>Giong Trom</t>
  </si>
  <si>
    <t>VNM.6.7_1</t>
  </si>
  <si>
    <t>Mỏ Cày Bắc</t>
  </si>
  <si>
    <t>Mo Cay Bac</t>
  </si>
  <si>
    <t>Tân Thành Bình</t>
  </si>
  <si>
    <t>VNM.6.8_1</t>
  </si>
  <si>
    <t>Mỏ Cày Nam</t>
  </si>
  <si>
    <t>Mo Cay Nam</t>
  </si>
  <si>
    <t>Thành Thới</t>
  </si>
  <si>
    <t>VNM.6.9_1</t>
  </si>
  <si>
    <t>Thạnh Phú</t>
  </si>
  <si>
    <t>Thanh Phu</t>
  </si>
  <si>
    <t>An Qui</t>
  </si>
  <si>
    <t>VNM.8.1_1</t>
  </si>
  <si>
    <t>VNM.8_1</t>
  </si>
  <si>
    <t>Bình Định</t>
  </si>
  <si>
    <t>An Lão</t>
  </si>
  <si>
    <t>An Lao</t>
  </si>
  <si>
    <t>An Vinh</t>
  </si>
  <si>
    <t>Gia Lai</t>
  </si>
  <si>
    <t>VNM.8.2_1</t>
  </si>
  <si>
    <t>An Nhơn</t>
  </si>
  <si>
    <t>An Nhon</t>
  </si>
  <si>
    <t>An Nhơn Nam</t>
  </si>
  <si>
    <t>VNM.8.3_1</t>
  </si>
  <si>
    <t>Hoài Ân</t>
  </si>
  <si>
    <t>Hoai An</t>
  </si>
  <si>
    <t>Ân Tường</t>
  </si>
  <si>
    <t>VNM.8.4_1</t>
  </si>
  <si>
    <t>Hoài Nhơn</t>
  </si>
  <si>
    <t>Hoai Nhon</t>
  </si>
  <si>
    <t>VNM.8.5_1</t>
  </si>
  <si>
    <t>Phù Cát</t>
  </si>
  <si>
    <t>Phu Cat</t>
  </si>
  <si>
    <t>VNM.8.6_1</t>
  </si>
  <si>
    <t>Phù Mỹ</t>
  </si>
  <si>
    <t>Phu My</t>
  </si>
  <si>
    <t>Phù Mỹ Tây</t>
  </si>
  <si>
    <t>VNM.8.7_1</t>
  </si>
  <si>
    <t>Qui Nhơn</t>
  </si>
  <si>
    <t>Qui Nhon</t>
  </si>
  <si>
    <t>Quy Nhơn Nam</t>
  </si>
  <si>
    <t>VNM.8.8_1</t>
  </si>
  <si>
    <t>Tây Sơn</t>
  </si>
  <si>
    <t>Tay Son</t>
  </si>
  <si>
    <t>Bình Phú</t>
  </si>
  <si>
    <t>VNM.8.9_1</t>
  </si>
  <si>
    <t>Tuy Phước</t>
  </si>
  <si>
    <t>Tuy Phuoc</t>
  </si>
  <si>
    <t>VNM.8.10_1</t>
  </si>
  <si>
    <t>Vân Canh</t>
  </si>
  <si>
    <t>Van Canh</t>
  </si>
  <si>
    <t>VNM.8.11_1</t>
  </si>
  <si>
    <t>Vĩnh Thạnh</t>
  </si>
  <si>
    <t>Vinh Thanh</t>
  </si>
  <si>
    <t>VNM.9.1_1</t>
  </si>
  <si>
    <t>VNM.9_1</t>
  </si>
  <si>
    <t>Bình Dương</t>
  </si>
  <si>
    <t>Bắc Tân Uyên</t>
  </si>
  <si>
    <t>Bac Tan Uyen</t>
  </si>
  <si>
    <t>VNM.9.3_1</t>
  </si>
  <si>
    <t>Bàu Bàng</t>
  </si>
  <si>
    <t>Bau Bang</t>
  </si>
  <si>
    <t>Bầu Bàng</t>
  </si>
  <si>
    <t>VNM.9.2_1</t>
  </si>
  <si>
    <t>Bến Cát</t>
  </si>
  <si>
    <t>Ben Cat</t>
  </si>
  <si>
    <t>Thới Hoà</t>
  </si>
  <si>
    <t>VNM.9.4_1</t>
  </si>
  <si>
    <t>Dầu Tiếng</t>
  </si>
  <si>
    <t>Dau Tieng</t>
  </si>
  <si>
    <t>VNM.9.5_1</t>
  </si>
  <si>
    <t>Dĩ An</t>
  </si>
  <si>
    <t>Di An</t>
  </si>
  <si>
    <t>VNM.9.6_1</t>
  </si>
  <si>
    <t>Phú Giáo</t>
  </si>
  <si>
    <t>Phu Giao</t>
  </si>
  <si>
    <t>VNM.9.7_1</t>
  </si>
  <si>
    <t>Tân Uyên</t>
  </si>
  <si>
    <t>Tan Uyen</t>
  </si>
  <si>
    <t>Tân Hiệp</t>
  </si>
  <si>
    <t>VNM.9.8_1</t>
  </si>
  <si>
    <t>Thủ Dầu Một</t>
  </si>
  <si>
    <t>Thu Dau Mot</t>
  </si>
  <si>
    <t>VNM.9.9_1</t>
  </si>
  <si>
    <t>Thuận An</t>
  </si>
  <si>
    <t>Thuan An</t>
  </si>
  <si>
    <t>Thuận Giao</t>
  </si>
  <si>
    <t>VNM.10.1_1</t>
  </si>
  <si>
    <t>VNM.10_1</t>
  </si>
  <si>
    <t>Bình Phước</t>
  </si>
  <si>
    <t>Bình Long</t>
  </si>
  <si>
    <t>Binh Long</t>
  </si>
  <si>
    <t>An Lộc</t>
  </si>
  <si>
    <t>Đồng Nai</t>
  </si>
  <si>
    <t>VNM.10.3_1</t>
  </si>
  <si>
    <t>Bù Đăng</t>
  </si>
  <si>
    <t>Bu Dang</t>
  </si>
  <si>
    <t>VNM.10.2_1</t>
  </si>
  <si>
    <t>Bù Đốp</t>
  </si>
  <si>
    <t>Bu Dop</t>
  </si>
  <si>
    <t>Thiện Hưng</t>
  </si>
  <si>
    <t>VNM.10.4_1</t>
  </si>
  <si>
    <t>Bù Gia Mập</t>
  </si>
  <si>
    <t>Bu Gia Map</t>
  </si>
  <si>
    <t>Đăk Ơ</t>
  </si>
  <si>
    <t>VNM.10.5_1</t>
  </si>
  <si>
    <t>Chơn Thành</t>
  </si>
  <si>
    <t>Chon Thanh</t>
  </si>
  <si>
    <t>VNM.10.6_1</t>
  </si>
  <si>
    <t>Đồng Phú</t>
  </si>
  <si>
    <t>Dong Phu</t>
  </si>
  <si>
    <t>Tân Lợi</t>
  </si>
  <si>
    <t>VNM.10.7_1</t>
  </si>
  <si>
    <t>Đồng Xoài</t>
  </si>
  <si>
    <t>Dong Xoai</t>
  </si>
  <si>
    <t>VNM.10.8_1</t>
  </si>
  <si>
    <t>Hớn Quản</t>
  </si>
  <si>
    <t>Hon Quan</t>
  </si>
  <si>
    <t>VNM.10.9_1</t>
  </si>
  <si>
    <t>Lộc Ninh</t>
  </si>
  <si>
    <t>Loc Ninh</t>
  </si>
  <si>
    <t>Lộc Tấn</t>
  </si>
  <si>
    <t>VNM.10.10_1</t>
  </si>
  <si>
    <t>Phú Riềng</t>
  </si>
  <si>
    <t>Phu Rieng</t>
  </si>
  <si>
    <t>VNM.10.11_1</t>
  </si>
  <si>
    <t>VNM.11.1_1</t>
  </si>
  <si>
    <t>VNM.11_1</t>
  </si>
  <si>
    <t>Bình Thuận</t>
  </si>
  <si>
    <t>Bắc Bình</t>
  </si>
  <si>
    <t>Bac Binh</t>
  </si>
  <si>
    <t>Lương Sơn</t>
  </si>
  <si>
    <t>Lâm Đồng</t>
  </si>
  <si>
    <t>VNM.11.2_1</t>
  </si>
  <si>
    <t>Đức Linh</t>
  </si>
  <si>
    <t>Duc Linh</t>
  </si>
  <si>
    <t>VNM.11.3_1</t>
  </si>
  <si>
    <t>Hàm Tân</t>
  </si>
  <si>
    <t>Ham Tan</t>
  </si>
  <si>
    <t>VNM.11.4_1</t>
  </si>
  <si>
    <t>Hàm Thuận Bắc</t>
  </si>
  <si>
    <t>Ham Thuan Bac</t>
  </si>
  <si>
    <t>VNM.11.5_1</t>
  </si>
  <si>
    <t>Hàm Thuận Nam</t>
  </si>
  <si>
    <t>Ham Thuan Nam</t>
  </si>
  <si>
    <t>Hàm Kiệm</t>
  </si>
  <si>
    <t>VNM.11.6_1</t>
  </si>
  <si>
    <t>La Gi</t>
  </si>
  <si>
    <t>VNM.11.7_1</t>
  </si>
  <si>
    <t>Phan Thiết</t>
  </si>
  <si>
    <t>Phan Thiet</t>
  </si>
  <si>
    <t>Phú Thuỷ</t>
  </si>
  <si>
    <t>VNM.11.8_1</t>
  </si>
  <si>
    <t>Phú Quí</t>
  </si>
  <si>
    <t>Phu Qui</t>
  </si>
  <si>
    <t>Phú Quý</t>
  </si>
  <si>
    <t>VNM.11.9_1</t>
  </si>
  <si>
    <t>Tánh Linh</t>
  </si>
  <si>
    <t>Tanh Linh</t>
  </si>
  <si>
    <t>VNM.11.10_1</t>
  </si>
  <si>
    <t>Tuy Phong</t>
  </si>
  <si>
    <t>Liên Hương</t>
  </si>
  <si>
    <t>VNM.13.1_1</t>
  </si>
  <si>
    <t>VNM.13_1</t>
  </si>
  <si>
    <t>Ca Mau</t>
  </si>
  <si>
    <t>Hoà Thành</t>
  </si>
  <si>
    <t>VNM.13.2_1</t>
  </si>
  <si>
    <t>Cái Nước</t>
  </si>
  <si>
    <t>Cai Nuoc</t>
  </si>
  <si>
    <t>Tân Hưng</t>
  </si>
  <si>
    <t>VNM.13.3_1</t>
  </si>
  <si>
    <t>Đầm Dơi</t>
  </si>
  <si>
    <t>Dam Doi</t>
  </si>
  <si>
    <t>VNM.13.4_1</t>
  </si>
  <si>
    <t>Năm Căn</t>
  </si>
  <si>
    <t>Nam Can</t>
  </si>
  <si>
    <t>VNM.13.5_1</t>
  </si>
  <si>
    <t>Ngọc Hiển</t>
  </si>
  <si>
    <t>Ngoc Hien</t>
  </si>
  <si>
    <t>Phan Ngọc Hiển</t>
  </si>
  <si>
    <t>VNM.13.6_1</t>
  </si>
  <si>
    <t>Nguyễn Việt Khái</t>
  </si>
  <si>
    <t>VNM.13.7_1</t>
  </si>
  <si>
    <t>Thới Bình</t>
  </si>
  <si>
    <t>Thoi Binh</t>
  </si>
  <si>
    <t>VNM.13.8_1</t>
  </si>
  <si>
    <t>Trần Văn Thời</t>
  </si>
  <si>
    <t>Tran Van Thoi</t>
  </si>
  <si>
    <t>Khánh Hưng</t>
  </si>
  <si>
    <t>VNM.13.9_1</t>
  </si>
  <si>
    <t>U Minh</t>
  </si>
  <si>
    <t>Khánh Lâm</t>
  </si>
  <si>
    <t>VNM.12.1_1</t>
  </si>
  <si>
    <t>VNM.12_1</t>
  </si>
  <si>
    <t>Cần Thơ</t>
  </si>
  <si>
    <t>Bình Thuỷ</t>
  </si>
  <si>
    <t>Binh Thuy</t>
  </si>
  <si>
    <t>Quận</t>
  </si>
  <si>
    <t>Urban District</t>
  </si>
  <si>
    <t>Long Tuyền</t>
  </si>
  <si>
    <t>VNM.12.3_1</t>
  </si>
  <si>
    <t>Cái Răng</t>
  </si>
  <si>
    <t>Cai Rang</t>
  </si>
  <si>
    <t>VNM.12.2_1</t>
  </si>
  <si>
    <t>Cờ Đỏ</t>
  </si>
  <si>
    <t>Co Do</t>
  </si>
  <si>
    <t>VNM.12.4_1</t>
  </si>
  <si>
    <t>Ninh Kiều</t>
  </si>
  <si>
    <t>Ninh Kieu</t>
  </si>
  <si>
    <t>VNM.12.5_1</t>
  </si>
  <si>
    <t>Ô Môn</t>
  </si>
  <si>
    <t>O Mon</t>
  </si>
  <si>
    <t>VNM.12.6_1</t>
  </si>
  <si>
    <t>Phong Điền</t>
  </si>
  <si>
    <t>Phong Dien</t>
  </si>
  <si>
    <t>VNM.12.8_1</t>
  </si>
  <si>
    <t>Thới Lai</t>
  </si>
  <si>
    <t>Thoi Lai</t>
  </si>
  <si>
    <t>VNM.12.7_1</t>
  </si>
  <si>
    <t>Thốt Nốt</t>
  </si>
  <si>
    <t>Thot Not</t>
  </si>
  <si>
    <t>Thuận Hưng</t>
  </si>
  <si>
    <t>VNM.12.9_1</t>
  </si>
  <si>
    <t>Thạnh Quới</t>
  </si>
  <si>
    <t>VNM.14.1_1</t>
  </si>
  <si>
    <t>VNM.14_1</t>
  </si>
  <si>
    <t>Cao Bằng</t>
  </si>
  <si>
    <t>Bảo Lạc</t>
  </si>
  <si>
    <t>Bao Lac</t>
  </si>
  <si>
    <t>VNM.14.2_1</t>
  </si>
  <si>
    <t>Bảo Lâm</t>
  </si>
  <si>
    <t>Bao Lam</t>
  </si>
  <si>
    <t>Nam Quang</t>
  </si>
  <si>
    <t>VNM.14.3_1</t>
  </si>
  <si>
    <t>Cao Bang</t>
  </si>
  <si>
    <t>Tân Giang</t>
  </si>
  <si>
    <t>VNM.14.4_1</t>
  </si>
  <si>
    <t>Hạ Lang</t>
  </si>
  <si>
    <t>Ha Lang</t>
  </si>
  <si>
    <t>Quang Long</t>
  </si>
  <si>
    <t>VNM.14.5_1</t>
  </si>
  <si>
    <t>Hà Quảng</t>
  </si>
  <si>
    <t>Ha Quang</t>
  </si>
  <si>
    <t>Lũng Nặm</t>
  </si>
  <si>
    <t>VNM.14.6_1</t>
  </si>
  <si>
    <t>Hoà An</t>
  </si>
  <si>
    <t>Hoa An</t>
  </si>
  <si>
    <t>Thục Phán</t>
  </si>
  <si>
    <t>VNM.14.7_1</t>
  </si>
  <si>
    <t>Nguyên Bình</t>
  </si>
  <si>
    <t>Nguyen Binh</t>
  </si>
  <si>
    <t>Thành Công</t>
  </si>
  <si>
    <t>VNM.14.8_1</t>
  </si>
  <si>
    <t>Phục Hoà</t>
  </si>
  <si>
    <t>Phuc Hoa</t>
  </si>
  <si>
    <t>VNM.14.9_1</t>
  </si>
  <si>
    <t>Quảng Uyên</t>
  </si>
  <si>
    <t>Quang Uyen</t>
  </si>
  <si>
    <t>VNM.14.10_1</t>
  </si>
  <si>
    <t>Thạch An</t>
  </si>
  <si>
    <t>Thach An</t>
  </si>
  <si>
    <t>Canh Tân</t>
  </si>
  <si>
    <t>VNM.14.11_1</t>
  </si>
  <si>
    <t>Thông Nông</t>
  </si>
  <si>
    <t>Thong Nong</t>
  </si>
  <si>
    <t>VNM.14.12_1</t>
  </si>
  <si>
    <t>Trà Lĩnh</t>
  </si>
  <si>
    <t>Tra Linh</t>
  </si>
  <si>
    <t>VNM.14.13_1</t>
  </si>
  <si>
    <t>Trùng Khánh</t>
  </si>
  <si>
    <t>Trung Khanh</t>
  </si>
  <si>
    <t>VNM.19.1_1</t>
  </si>
  <si>
    <t>VNM.19_1</t>
  </si>
  <si>
    <t>Đà Nẵng</t>
  </si>
  <si>
    <t>Cẩm Lệ</t>
  </si>
  <si>
    <t>Cam Le</t>
  </si>
  <si>
    <t>VNM.19.2_1</t>
  </si>
  <si>
    <t>Hải Châu</t>
  </si>
  <si>
    <t>Hai Chau</t>
  </si>
  <si>
    <t>Hoà Cường</t>
  </si>
  <si>
    <t>VNM.19.3_1</t>
  </si>
  <si>
    <t>Hòa Vang</t>
  </si>
  <si>
    <t>Hoa Vang</t>
  </si>
  <si>
    <t>Bà Nà</t>
  </si>
  <si>
    <t>VNM.19.4_1</t>
  </si>
  <si>
    <t>Liên Chiểu</t>
  </si>
  <si>
    <t>Lien Chieu</t>
  </si>
  <si>
    <t>Hải Vân</t>
  </si>
  <si>
    <t>VNM.19.5_1</t>
  </si>
  <si>
    <t>Ngũ Hành Sơn</t>
  </si>
  <si>
    <t>Ngu Hanh Son</t>
  </si>
  <si>
    <t>VNM.19.6_1</t>
  </si>
  <si>
    <t>Sơn Trà</t>
  </si>
  <si>
    <t>Son Tra</t>
  </si>
  <si>
    <t>VNM.19.7_1</t>
  </si>
  <si>
    <t>Thanh Khê</t>
  </si>
  <si>
    <t>Thanh Khe</t>
  </si>
  <si>
    <t>VNM.15.1_1</t>
  </si>
  <si>
    <t>VNM.15_1</t>
  </si>
  <si>
    <t>Đắk Lắk</t>
  </si>
  <si>
    <t>Buôn Đôn</t>
  </si>
  <si>
    <t>Buon Don</t>
  </si>
  <si>
    <t>VNM.15.2_1</t>
  </si>
  <si>
    <t>Buôn Ma Thuột</t>
  </si>
  <si>
    <t>Buon Ma Thuot</t>
  </si>
  <si>
    <t>Ea Kao</t>
  </si>
  <si>
    <t>VNM.15.3_1</t>
  </si>
  <si>
    <t>Cư Kuin</t>
  </si>
  <si>
    <t>Cu Kuin</t>
  </si>
  <si>
    <t>Ea Ktur</t>
  </si>
  <si>
    <t>VNM.15.4_1</t>
  </si>
  <si>
    <t>Cư M'gar</t>
  </si>
  <si>
    <t>Cu M'gar</t>
  </si>
  <si>
    <t>VNM.15.5_1</t>
  </si>
  <si>
    <t>Ea H'leo</t>
  </si>
  <si>
    <t>Ea Drăng</t>
  </si>
  <si>
    <t>VNM.15.6_1</t>
  </si>
  <si>
    <t>Ea Kar</t>
  </si>
  <si>
    <t>Ea Knốp</t>
  </si>
  <si>
    <t>VNM.15.7_1</t>
  </si>
  <si>
    <t>Ea Súp</t>
  </si>
  <si>
    <t>Ea Sup</t>
  </si>
  <si>
    <t>Ea Rốk</t>
  </si>
  <si>
    <t>VNM.15.8_1</t>
  </si>
  <si>
    <t>Krông A Na</t>
  </si>
  <si>
    <t>Krong A Na</t>
  </si>
  <si>
    <t>Krông Ana</t>
  </si>
  <si>
    <t>VNM.15.9_1</t>
  </si>
  <si>
    <t>Krông Bông</t>
  </si>
  <si>
    <t>Krong Bong</t>
  </si>
  <si>
    <t>Yang Mao</t>
  </si>
  <si>
    <t>VNM.15.10_1</t>
  </si>
  <si>
    <t>Krông Búk</t>
  </si>
  <si>
    <t>Krong Buk</t>
  </si>
  <si>
    <t>VNM.15.11_1</t>
  </si>
  <si>
    <t>Krông Năng</t>
  </si>
  <si>
    <t>Krong Nang</t>
  </si>
  <si>
    <t>Tam Giang</t>
  </si>
  <si>
    <t>VNM.15.12_1</t>
  </si>
  <si>
    <t>Krông Pắc</t>
  </si>
  <si>
    <t>Krong Pac</t>
  </si>
  <si>
    <t>VNM.15.13_1</t>
  </si>
  <si>
    <t>Lắk</t>
  </si>
  <si>
    <t>Lak</t>
  </si>
  <si>
    <t>Đắk Phơi</t>
  </si>
  <si>
    <t>VNM.15.14_1</t>
  </si>
  <si>
    <t>M'Đrắk</t>
  </si>
  <si>
    <t>M'Drak</t>
  </si>
  <si>
    <t>Cư M'ta</t>
  </si>
  <si>
    <t>VNM.15.15_1</t>
  </si>
  <si>
    <t>Thị Xã Buôn Hồ</t>
  </si>
  <si>
    <t>Buon Ho</t>
  </si>
  <si>
    <t>Buôn Hồ</t>
  </si>
  <si>
    <t>VNM.16.1_1</t>
  </si>
  <si>
    <t>VNM.16_1</t>
  </si>
  <si>
    <t>Đắk Nông</t>
  </si>
  <si>
    <t>Cư Jút</t>
  </si>
  <si>
    <t>Cu Jut</t>
  </si>
  <si>
    <t>Đắk Wil</t>
  </si>
  <si>
    <t>VNM.16.5_1</t>
  </si>
  <si>
    <t>Đăk Glong</t>
  </si>
  <si>
    <t>Dak Glong</t>
  </si>
  <si>
    <t>Tà Đùng</t>
  </si>
  <si>
    <t>VNM.16.2_1</t>
  </si>
  <si>
    <t>Đắk Mil</t>
  </si>
  <si>
    <t>Dak Mil</t>
  </si>
  <si>
    <t>VNM.16.3_1</t>
  </si>
  <si>
    <t>Đắk R'Lấp</t>
  </si>
  <si>
    <t>Dak R'Lap</t>
  </si>
  <si>
    <t>Quảng Tín</t>
  </si>
  <si>
    <t>VNM.16.4_1</t>
  </si>
  <si>
    <t>Đắk Song</t>
  </si>
  <si>
    <t>Dak Song</t>
  </si>
  <si>
    <t>Đức An</t>
  </si>
  <si>
    <t>VNM.16.6_1</t>
  </si>
  <si>
    <t>Gia Nghĩa</t>
  </si>
  <si>
    <t>Gia Nghia</t>
  </si>
  <si>
    <t>Bắc Gia Nghĩa</t>
  </si>
  <si>
    <t>VNM.16.7_1</t>
  </si>
  <si>
    <t>Krông Nô</t>
  </si>
  <si>
    <t>Krong No</t>
  </si>
  <si>
    <t>Nâm Nung</t>
  </si>
  <si>
    <t>VNM.16.8_1</t>
  </si>
  <si>
    <t>Tuy Đức</t>
  </si>
  <si>
    <t>Tuy Duc</t>
  </si>
  <si>
    <t>Quảng Trực</t>
  </si>
  <si>
    <t>VNM.20.3_1</t>
  </si>
  <si>
    <t>VNM.20_1</t>
  </si>
  <si>
    <t>Điện Biên</t>
  </si>
  <si>
    <t>Dien Bien</t>
  </si>
  <si>
    <t>Núa Ngam</t>
  </si>
  <si>
    <t>VNM.20.1_1</t>
  </si>
  <si>
    <t>Điện Biên Đông</t>
  </si>
  <si>
    <t>Dien Bien Dong</t>
  </si>
  <si>
    <t>Xa Dung</t>
  </si>
  <si>
    <t>VNM.20.2_1</t>
  </si>
  <si>
    <t>Điện Biên Phủ</t>
  </si>
  <si>
    <t>Dien Bien Phu</t>
  </si>
  <si>
    <t>VNM.20.4_1</t>
  </si>
  <si>
    <t>Mường Ảng</t>
  </si>
  <si>
    <t>Muong Ang</t>
  </si>
  <si>
    <t>VNM.20.5_1</t>
  </si>
  <si>
    <t>Mường Chà</t>
  </si>
  <si>
    <t>Muong Cha</t>
  </si>
  <si>
    <t>Na Sang</t>
  </si>
  <si>
    <t>VNM.20.6_1</t>
  </si>
  <si>
    <t>Mường Nhé</t>
  </si>
  <si>
    <t>Muong Nhe</t>
  </si>
  <si>
    <t>VNM.20.7_1</t>
  </si>
  <si>
    <t>Nậm Pồ</t>
  </si>
  <si>
    <t>Nam Po</t>
  </si>
  <si>
    <t>VNM.20.9_1</t>
  </si>
  <si>
    <t>Thị Xã Mường Lay</t>
  </si>
  <si>
    <t>Muong Lay</t>
  </si>
  <si>
    <t>Mường Lay</t>
  </si>
  <si>
    <t>VNM.20.8_1</t>
  </si>
  <si>
    <t>Tủa Chùa</t>
  </si>
  <si>
    <t>Tua Chua</t>
  </si>
  <si>
    <t>Sính Phình</t>
  </si>
  <si>
    <t>VNM.20.10_1</t>
  </si>
  <si>
    <t>Tuần Giáo</t>
  </si>
  <si>
    <t>Tuan Giao</t>
  </si>
  <si>
    <t>VNM.17.1_1</t>
  </si>
  <si>
    <t>VNM.17_1</t>
  </si>
  <si>
    <t>Biên Hòa</t>
  </si>
  <si>
    <t>Bien Hoa</t>
  </si>
  <si>
    <t>Trấn Biên</t>
  </si>
  <si>
    <t>VNM.17.2_1</t>
  </si>
  <si>
    <t>Cẩm Mỹ</t>
  </si>
  <si>
    <t>Cam My</t>
  </si>
  <si>
    <t>VNM.17.3_1</t>
  </si>
  <si>
    <t>Định Quán</t>
  </si>
  <si>
    <t>Dinh Quan</t>
  </si>
  <si>
    <t>VNM.17.4_1</t>
  </si>
  <si>
    <t>Long Khánh</t>
  </si>
  <si>
    <t>Long Khanh</t>
  </si>
  <si>
    <t>Bình Lộc</t>
  </si>
  <si>
    <t>VNM.17.5_1</t>
  </si>
  <si>
    <t>Long Thành</t>
  </si>
  <si>
    <t>Long Thanh</t>
  </si>
  <si>
    <t>VNM.17.6_1</t>
  </si>
  <si>
    <t>Nhơn Trạch</t>
  </si>
  <si>
    <t>Nhon Trach</t>
  </si>
  <si>
    <t>Phước An</t>
  </si>
  <si>
    <t>VNM.17.7_1</t>
  </si>
  <si>
    <t>Tân Phú</t>
  </si>
  <si>
    <t>Tan Phu</t>
  </si>
  <si>
    <t>Tà Lài</t>
  </si>
  <si>
    <t>VNM.17.8_1</t>
  </si>
  <si>
    <t>Thống Nhất</t>
  </si>
  <si>
    <t>Thong Nhat</t>
  </si>
  <si>
    <t>Gia Kiệm</t>
  </si>
  <si>
    <t>VNM.17.9_1</t>
  </si>
  <si>
    <t>Trảng Bom</t>
  </si>
  <si>
    <t>Trang Bom</t>
  </si>
  <si>
    <t>Tràng Bom</t>
  </si>
  <si>
    <t>VNM.17.10_1</t>
  </si>
  <si>
    <t>Vĩnh Cửu</t>
  </si>
  <si>
    <t>Vinh Cuu</t>
  </si>
  <si>
    <t>Trị An</t>
  </si>
  <si>
    <t>VNM.17.11_1</t>
  </si>
  <si>
    <t>Xuân Lộc</t>
  </si>
  <si>
    <t>Xuan Loc</t>
  </si>
  <si>
    <t>VNM.18.2_1</t>
  </si>
  <si>
    <t>VNM.18_1</t>
  </si>
  <si>
    <t>Đồng Tháp</t>
  </si>
  <si>
    <t>Cao Lãnh</t>
  </si>
  <si>
    <t>Cao Lanh</t>
  </si>
  <si>
    <t>Mỹ Trà</t>
  </si>
  <si>
    <t>VNM.18.1_1</t>
  </si>
  <si>
    <t>Cao Lãnh (Thành phố)</t>
  </si>
  <si>
    <t>VNM.18.3_1</t>
  </si>
  <si>
    <t>Tân Nhuận Đông</t>
  </si>
  <si>
    <t>VNM.18.5_1</t>
  </si>
  <si>
    <t>Hồng Ngự</t>
  </si>
  <si>
    <t>Hong Ngu</t>
  </si>
  <si>
    <t>Thường Phước</t>
  </si>
  <si>
    <t>VNM.18.4_1</t>
  </si>
  <si>
    <t>Hồng Ngự (Thị xã)</t>
  </si>
  <si>
    <t>VNM.18.7_1</t>
  </si>
  <si>
    <t>Lai Vung</t>
  </si>
  <si>
    <t>Hoà Long</t>
  </si>
  <si>
    <t>VNM.18.6_1</t>
  </si>
  <si>
    <t>Lấp Vò</t>
  </si>
  <si>
    <t>Lap Vo</t>
  </si>
  <si>
    <t>VNM.18.8_1</t>
  </si>
  <si>
    <t>Sa Đéc</t>
  </si>
  <si>
    <t>Sa Dec</t>
  </si>
  <si>
    <t>VNM.18.9_1</t>
  </si>
  <si>
    <t>Tam Nông</t>
  </si>
  <si>
    <t>Tam Nong</t>
  </si>
  <si>
    <t>VNM.18.10_1</t>
  </si>
  <si>
    <t>Tân Hồng</t>
  </si>
  <si>
    <t>Tan Hong</t>
  </si>
  <si>
    <t>Tân Hộ Cơ</t>
  </si>
  <si>
    <t>VNM.18.11_1</t>
  </si>
  <si>
    <t>Thanh Bình</t>
  </si>
  <si>
    <t>Thanh Binh</t>
  </si>
  <si>
    <t>Tân Thạnh</t>
  </si>
  <si>
    <t>VNM.18.12_1</t>
  </si>
  <si>
    <t>Tháp Mười</t>
  </si>
  <si>
    <t>Thap Muoi</t>
  </si>
  <si>
    <t>VNM.21.1_1</t>
  </si>
  <si>
    <t>VNM.21_1</t>
  </si>
  <si>
    <t>An Khê</t>
  </si>
  <si>
    <t>An Khe</t>
  </si>
  <si>
    <t>VNM.21.2_1</t>
  </si>
  <si>
    <t>Ayun Pa</t>
  </si>
  <si>
    <t>Ia Rbol</t>
  </si>
  <si>
    <t>VNM.21.3_1</t>
  </si>
  <si>
    <t>Chư Păh</t>
  </si>
  <si>
    <t>Chu Pah</t>
  </si>
  <si>
    <t>Ia Khươl</t>
  </si>
  <si>
    <t>VNM.21.4_1</t>
  </si>
  <si>
    <t>Chư Prông</t>
  </si>
  <si>
    <t>Chu Prong</t>
  </si>
  <si>
    <t>Ia Pia</t>
  </si>
  <si>
    <t>VNM.21.5_1</t>
  </si>
  <si>
    <t>Chư Pưh</t>
  </si>
  <si>
    <t>Chu Puh</t>
  </si>
  <si>
    <t>Ia Le</t>
  </si>
  <si>
    <t>VNM.21.6_1</t>
  </si>
  <si>
    <t>Chư Sê</t>
  </si>
  <si>
    <t>Chu Se</t>
  </si>
  <si>
    <t>Al Bá</t>
  </si>
  <si>
    <t>VNM.21.8_1</t>
  </si>
  <si>
    <t>Đăk Đoa</t>
  </si>
  <si>
    <t>Dak Doa</t>
  </si>
  <si>
    <t>Kon Gang</t>
  </si>
  <si>
    <t>VNM.21.9_1</t>
  </si>
  <si>
    <t>Đắk Ơ</t>
  </si>
  <si>
    <t>Dak Po</t>
  </si>
  <si>
    <t>An Bình</t>
  </si>
  <si>
    <t>VNM.21.7_1</t>
  </si>
  <si>
    <t>Đức Cơ</t>
  </si>
  <si>
    <t>Duc Co</t>
  </si>
  <si>
    <t>Ia Pnôn</t>
  </si>
  <si>
    <t>VNM.21.10_1</t>
  </si>
  <si>
    <t>Ia Grai</t>
  </si>
  <si>
    <t>VNM.21.11_1</t>
  </si>
  <si>
    <t>Ia Pa</t>
  </si>
  <si>
    <t>Ia Tul</t>
  </si>
  <si>
    <t>VNM.21.12_1</t>
  </si>
  <si>
    <t>KBang</t>
  </si>
  <si>
    <t>Krong</t>
  </si>
  <si>
    <t>VNM.21.13_1</t>
  </si>
  <si>
    <t>Kông Chro</t>
  </si>
  <si>
    <t>Kong Chro</t>
  </si>
  <si>
    <t>SRó</t>
  </si>
  <si>
    <t>VNM.21.14_1</t>
  </si>
  <si>
    <t>Krông Pa</t>
  </si>
  <si>
    <t>Krong Pa</t>
  </si>
  <si>
    <t>Ia Rsai</t>
  </si>
  <si>
    <t>VNM.21.15_1</t>
  </si>
  <si>
    <t>Mang Yang</t>
  </si>
  <si>
    <t>Lơ Pang</t>
  </si>
  <si>
    <t>VNM.21.16_1</t>
  </si>
  <si>
    <t>Phú Thiện</t>
  </si>
  <si>
    <t>Phu Thien</t>
  </si>
  <si>
    <t>VNM.21.17_1</t>
  </si>
  <si>
    <t>Pleiku</t>
  </si>
  <si>
    <t>VNM.26.1_1</t>
  </si>
  <si>
    <t>VNM.26_1</t>
  </si>
  <si>
    <t>Hà Giang</t>
  </si>
  <si>
    <t>Bắc Mê</t>
  </si>
  <si>
    <t>Bac Me</t>
  </si>
  <si>
    <t>Tuyên Quang</t>
  </si>
  <si>
    <t>VNM.26.2_1</t>
  </si>
  <si>
    <t>Bắc Quang</t>
  </si>
  <si>
    <t>Bac Quang</t>
  </si>
  <si>
    <t>Bằng Hành</t>
  </si>
  <si>
    <t>VNM.26.3_1</t>
  </si>
  <si>
    <t>Đồng Văn</t>
  </si>
  <si>
    <t>Dong Van</t>
  </si>
  <si>
    <t>Sà Phìn</t>
  </si>
  <si>
    <t>VNM.26.4_1</t>
  </si>
  <si>
    <t>Ha Giang</t>
  </si>
  <si>
    <t>Hà Giang 1</t>
  </si>
  <si>
    <t>VNM.26.5_1</t>
  </si>
  <si>
    <t>Hoàng Su Phì</t>
  </si>
  <si>
    <t>Hoang Su Phi</t>
  </si>
  <si>
    <t>VNM.26.6_1</t>
  </si>
  <si>
    <t>Mèo Vạc</t>
  </si>
  <si>
    <t>Meo Vac</t>
  </si>
  <si>
    <t>VNM.26.7_1</t>
  </si>
  <si>
    <t>Quản Bạ</t>
  </si>
  <si>
    <t>Quan Ba</t>
  </si>
  <si>
    <t>VNM.26.8_1</t>
  </si>
  <si>
    <t>Quang Bình</t>
  </si>
  <si>
    <t>Quang Binh</t>
  </si>
  <si>
    <t>Tân Trịnh</t>
  </si>
  <si>
    <t>VNM.26.9_1</t>
  </si>
  <si>
    <t>Vị Xuyên</t>
  </si>
  <si>
    <t>Vi Xuyen</t>
  </si>
  <si>
    <t>VNM.26.10_1</t>
  </si>
  <si>
    <t>Xín Mần</t>
  </si>
  <si>
    <t>Xin Man</t>
  </si>
  <si>
    <t>Nấm Dẩn</t>
  </si>
  <si>
    <t>VNM.26.11_1</t>
  </si>
  <si>
    <t>Yên Minh</t>
  </si>
  <si>
    <t>Yen Minh</t>
  </si>
  <si>
    <t>VNM.28.1_1</t>
  </si>
  <si>
    <t>VNM.28_1</t>
  </si>
  <si>
    <t>Hà Nam</t>
  </si>
  <si>
    <t>Bình Lục</t>
  </si>
  <si>
    <t>Binh Luc</t>
  </si>
  <si>
    <t>Bình An</t>
  </si>
  <si>
    <t>Ninh Bình</t>
  </si>
  <si>
    <t>VNM.28.2_1</t>
  </si>
  <si>
    <t>Duy Tiên</t>
  </si>
  <si>
    <t>Duy Tien</t>
  </si>
  <si>
    <t>VNM.28.3_1</t>
  </si>
  <si>
    <t>Kim Bảng</t>
  </si>
  <si>
    <t>Kim Bang</t>
  </si>
  <si>
    <t>Lý Thường Kiệt</t>
  </si>
  <si>
    <t>VNM.28.4_1</t>
  </si>
  <si>
    <t>Lý Nhân</t>
  </si>
  <si>
    <t>Ly Nhan</t>
  </si>
  <si>
    <t>Trần Thương</t>
  </si>
  <si>
    <t>VNM.28.5_1</t>
  </si>
  <si>
    <t>Phủ Lý</t>
  </si>
  <si>
    <t>Phu Ly</t>
  </si>
  <si>
    <t>VNM.28.6_1</t>
  </si>
  <si>
    <t>Thanh Liêm</t>
  </si>
  <si>
    <t>Thanh Liem</t>
  </si>
  <si>
    <t>VNM.27.3_1</t>
  </si>
  <si>
    <t>VNM.27_1</t>
  </si>
  <si>
    <t>Hà Nội</t>
  </si>
  <si>
    <t>Ba Đình</t>
  </si>
  <si>
    <t>Ba Dinh</t>
  </si>
  <si>
    <t>VNM.27.4_1</t>
  </si>
  <si>
    <t>Ba Vì</t>
  </si>
  <si>
    <t>Ba Vi</t>
  </si>
  <si>
    <t>Suối Hai</t>
  </si>
  <si>
    <t>VNM.27.2_1</t>
  </si>
  <si>
    <t>Bắc Từ Liêm</t>
  </si>
  <si>
    <t>Bac Tu Liem</t>
  </si>
  <si>
    <t>Đông Ngạc</t>
  </si>
  <si>
    <t>VNM.27.5_1</t>
  </si>
  <si>
    <t>Cầu Giấy</t>
  </si>
  <si>
    <t>Cau Giay</t>
  </si>
  <si>
    <t>VNM.27.6_1</t>
  </si>
  <si>
    <t>Chương Mỹ</t>
  </si>
  <si>
    <t>Chuong My</t>
  </si>
  <si>
    <t>VNM.27.8_1</t>
  </si>
  <si>
    <t>Đan Phượng</t>
  </si>
  <si>
    <t>Dan Phuong</t>
  </si>
  <si>
    <t>VNM.27.9_1</t>
  </si>
  <si>
    <t>Đông Anh</t>
  </si>
  <si>
    <t>Dong Anh</t>
  </si>
  <si>
    <t>Phúc Thịnh</t>
  </si>
  <si>
    <t>VNM.27.7_1</t>
  </si>
  <si>
    <t>Đống Đa</t>
  </si>
  <si>
    <t>Dong Da</t>
  </si>
  <si>
    <t>VNM.27.10_1</t>
  </si>
  <si>
    <t>Gia Lâm</t>
  </si>
  <si>
    <t>Gia Lam</t>
  </si>
  <si>
    <t>VNM.27.11_1</t>
  </si>
  <si>
    <t>Hà Đông</t>
  </si>
  <si>
    <t>Ha Dong</t>
  </si>
  <si>
    <t>Phú Lương</t>
  </si>
  <si>
    <t>VNM.27.12_1</t>
  </si>
  <si>
    <t>Hai Bà Trưng</t>
  </si>
  <si>
    <t>Hai Ba Trung</t>
  </si>
  <si>
    <t>Bạch Mai</t>
  </si>
  <si>
    <t>VNM.27.13_1</t>
  </si>
  <si>
    <t>Hoài Đức</t>
  </si>
  <si>
    <t>Hoai Duc</t>
  </si>
  <si>
    <t>Sơn Đồng</t>
  </si>
  <si>
    <t>VNM.27.14_1</t>
  </si>
  <si>
    <t>Hoàn Kiếm</t>
  </si>
  <si>
    <t>Hoan Kiem</t>
  </si>
  <si>
    <t>VNM.27.15_1</t>
  </si>
  <si>
    <t>Hoàng Mai</t>
  </si>
  <si>
    <t>Hoang Mai</t>
  </si>
  <si>
    <t>VNM.27.16_1</t>
  </si>
  <si>
    <t>Long Biên</t>
  </si>
  <si>
    <t>Long Bien</t>
  </si>
  <si>
    <t>VNM.27.18_1</t>
  </si>
  <si>
    <t>Mê Linh</t>
  </si>
  <si>
    <t>Me Linh</t>
  </si>
  <si>
    <t>Tiến Thắng</t>
  </si>
  <si>
    <t>VNM.27.17_1</t>
  </si>
  <si>
    <t>Mỹ Đức</t>
  </si>
  <si>
    <t>My Duc</t>
  </si>
  <si>
    <t>VNM.27.19_1</t>
  </si>
  <si>
    <t>Nam Từ Liêm</t>
  </si>
  <si>
    <t>Nam Tu Liem</t>
  </si>
  <si>
    <t>Từ Liêm</t>
  </si>
  <si>
    <t>VNM.27.20_1</t>
  </si>
  <si>
    <t>Phú Xuyên</t>
  </si>
  <si>
    <t>Phu Xuyen</t>
  </si>
  <si>
    <t>VNM.27.21_1</t>
  </si>
  <si>
    <t>Phúc Thọ</t>
  </si>
  <si>
    <t>Phuc Tho</t>
  </si>
  <si>
    <t>VNM.27.22_1</t>
  </si>
  <si>
    <t>Quốc Oai</t>
  </si>
  <si>
    <t>Quoc Oai</t>
  </si>
  <si>
    <t>Kiều Phú</t>
  </si>
  <si>
    <t>VNM.27.23_1</t>
  </si>
  <si>
    <t>Sóc Sơn</t>
  </si>
  <si>
    <t>Soc Son</t>
  </si>
  <si>
    <t>VNM.27.24_1</t>
  </si>
  <si>
    <t>Sơn Tây</t>
  </si>
  <si>
    <t>Son Tay</t>
  </si>
  <si>
    <t>Đoài Phương</t>
  </si>
  <si>
    <t>VNM.27.25_1</t>
  </si>
  <si>
    <t>Tây Hồ</t>
  </si>
  <si>
    <t>Tay Ho</t>
  </si>
  <si>
    <t>VNM.27.26_1</t>
  </si>
  <si>
    <t>Thạch Thất</t>
  </si>
  <si>
    <t>Thach That</t>
  </si>
  <si>
    <t>Hoà Lạc</t>
  </si>
  <si>
    <t>VNM.27.27_1</t>
  </si>
  <si>
    <t>Thanh Oai</t>
  </si>
  <si>
    <t>VNM.27.28_1</t>
  </si>
  <si>
    <t>Thanh Trì</t>
  </si>
  <si>
    <t>Thanh Tri</t>
  </si>
  <si>
    <t>VNM.27.29_1</t>
  </si>
  <si>
    <t>Thanh Xuân</t>
  </si>
  <si>
    <t>Thanh Xuan</t>
  </si>
  <si>
    <t>Khương Đình</t>
  </si>
  <si>
    <t>VNM.27.30_1</t>
  </si>
  <si>
    <t>Thường Tín</t>
  </si>
  <si>
    <t>Thuong Tin</t>
  </si>
  <si>
    <t>Thượng Phúc</t>
  </si>
  <si>
    <t>VNM.27.1_1</t>
  </si>
  <si>
    <t>Ứng Hòa</t>
  </si>
  <si>
    <t>Ung Hoa</t>
  </si>
  <si>
    <t>Vân Đình</t>
  </si>
  <si>
    <t>VNM.29.1_1</t>
  </si>
  <si>
    <t>VNM.29_1</t>
  </si>
  <si>
    <t>Hà Tĩnh</t>
  </si>
  <si>
    <t>Cẩm Xuyên</t>
  </si>
  <si>
    <t>Cam Xuyen</t>
  </si>
  <si>
    <t>VNM.29.2_1</t>
  </si>
  <si>
    <t>Can Lộc</t>
  </si>
  <si>
    <t>Can Loc</t>
  </si>
  <si>
    <t>Gia Hanh</t>
  </si>
  <si>
    <t>VNM.29.3_1</t>
  </si>
  <si>
    <t>Đức Thọ</t>
  </si>
  <si>
    <t>Duc Tho</t>
  </si>
  <si>
    <t>Đức Thịnh</t>
  </si>
  <si>
    <t>VNM.29.5_1</t>
  </si>
  <si>
    <t>Ha Tinh</t>
  </si>
  <si>
    <t>Thành Sen</t>
  </si>
  <si>
    <t>VNM.29.4_1</t>
  </si>
  <si>
    <t>Hồng Lĩnh</t>
  </si>
  <si>
    <t>Hong Linh</t>
  </si>
  <si>
    <t>Bắc Hồng Lĩnh</t>
  </si>
  <si>
    <t>VNM.29.6_1</t>
  </si>
  <si>
    <t>Hương Khê</t>
  </si>
  <si>
    <t>Huong Khe</t>
  </si>
  <si>
    <t>VNM.29.7_1</t>
  </si>
  <si>
    <t>Hương Sơn</t>
  </si>
  <si>
    <t>Huong Son</t>
  </si>
  <si>
    <t>VNM.29.9_1</t>
  </si>
  <si>
    <t>Kỳ Anh</t>
  </si>
  <si>
    <t>Ky Anh</t>
  </si>
  <si>
    <t>Kỳ Văn</t>
  </si>
  <si>
    <t>VNM.29.8_1</t>
  </si>
  <si>
    <t>Kỳ Anh (Thị xã)</t>
  </si>
  <si>
    <t>Vũng Áng</t>
  </si>
  <si>
    <t>VNM.29.10_1</t>
  </si>
  <si>
    <t>Lộc Hà</t>
  </si>
  <si>
    <t>Loc Ha</t>
  </si>
  <si>
    <t>VNM.29.11_1</t>
  </si>
  <si>
    <t>Nghi Xuân</t>
  </si>
  <si>
    <t>Nghi Xuan</t>
  </si>
  <si>
    <t>Tiên Điền</t>
  </si>
  <si>
    <t>VNM.29.12_1</t>
  </si>
  <si>
    <t>Thạch Hà</t>
  </si>
  <si>
    <t>Thach Ha</t>
  </si>
  <si>
    <t>VNM.29.13_1</t>
  </si>
  <si>
    <t>Vũ Quang</t>
  </si>
  <si>
    <t>Vu Quang</t>
  </si>
  <si>
    <t>VNM.22.1_1</t>
  </si>
  <si>
    <t>VNM.22_1</t>
  </si>
  <si>
    <t>Hải Dương</t>
  </si>
  <si>
    <t>Bình Giang</t>
  </si>
  <si>
    <t>Binh Giang</t>
  </si>
  <si>
    <t>Đường An</t>
  </si>
  <si>
    <t>Hải Phòng</t>
  </si>
  <si>
    <t>VNM.22.2_1</t>
  </si>
  <si>
    <t>Cam Giang</t>
  </si>
  <si>
    <t>Mao Điền</t>
  </si>
  <si>
    <t>VNM.22.3_1</t>
  </si>
  <si>
    <t>Chí Linh</t>
  </si>
  <si>
    <t>Chi Linh</t>
  </si>
  <si>
    <t>Trần Hưng Đạo</t>
  </si>
  <si>
    <t>VNM.22.4_1</t>
  </si>
  <si>
    <t>Gia Lộc</t>
  </si>
  <si>
    <t>Gia Loc</t>
  </si>
  <si>
    <t>Gia Phúc</t>
  </si>
  <si>
    <t>VNM.22.5_1</t>
  </si>
  <si>
    <t>Hai Duong</t>
  </si>
  <si>
    <t>Thành Đông</t>
  </si>
  <si>
    <t>VNM.22.6_1</t>
  </si>
  <si>
    <t>Kim Thành</t>
  </si>
  <si>
    <t>Kim Thanh</t>
  </si>
  <si>
    <t>An Thành</t>
  </si>
  <si>
    <t>VNM.22.7_1</t>
  </si>
  <si>
    <t>Kinh Môn</t>
  </si>
  <si>
    <t>Kinh Mon</t>
  </si>
  <si>
    <t>Phạm Sư Mạnh</t>
  </si>
  <si>
    <t>VNM.22.8_1</t>
  </si>
  <si>
    <t>Nam Sách</t>
  </si>
  <si>
    <t>Nam Sach</t>
  </si>
  <si>
    <t>VNM.22.9_1</t>
  </si>
  <si>
    <t>Ninh Giang</t>
  </si>
  <si>
    <t>Khúc Thừa Dụ</t>
  </si>
  <si>
    <t>VNM.22.11_1</t>
  </si>
  <si>
    <t>Thanh Hà</t>
  </si>
  <si>
    <t>Thanh Ha</t>
  </si>
  <si>
    <t>VNM.22.12_1</t>
  </si>
  <si>
    <t>Thanh Miện</t>
  </si>
  <si>
    <t>Thanh Mien</t>
  </si>
  <si>
    <t>Bắc Thanh Miện</t>
  </si>
  <si>
    <t>VNM.22.10_1</t>
  </si>
  <si>
    <t>Tứ Kỳ</t>
  </si>
  <si>
    <t>Tu Ky</t>
  </si>
  <si>
    <t>VNM.23.1_1</t>
  </si>
  <si>
    <t>VNM.23_1</t>
  </si>
  <si>
    <t>An Dương</t>
  </si>
  <si>
    <t>An Duong</t>
  </si>
  <si>
    <t>VNM.23.2_1</t>
  </si>
  <si>
    <t>VNM.23.3_1</t>
  </si>
  <si>
    <t>Bạch Long Vĩ</t>
  </si>
  <si>
    <t>Bach Long Vi</t>
  </si>
  <si>
    <t>VNM.23.4_1</t>
  </si>
  <si>
    <t>Cát Hải</t>
  </si>
  <si>
    <t>Cat Hai</t>
  </si>
  <si>
    <t>VNM.23.5_1</t>
  </si>
  <si>
    <t>Đồ Sơn</t>
  </si>
  <si>
    <t>Do Son</t>
  </si>
  <si>
    <t>VNM.23.6_1</t>
  </si>
  <si>
    <t>Dương Kinh</t>
  </si>
  <si>
    <t>Duong Kinh</t>
  </si>
  <si>
    <t>VNM.23.7_1</t>
  </si>
  <si>
    <t>Hải An</t>
  </si>
  <si>
    <t>Hai An</t>
  </si>
  <si>
    <t>VNM.23.8_1</t>
  </si>
  <si>
    <t>Hồng Bàng</t>
  </si>
  <si>
    <t>Hong Bang</t>
  </si>
  <si>
    <t>VNM.23.9_1</t>
  </si>
  <si>
    <t>Kiến An</t>
  </si>
  <si>
    <t>Kien An</t>
  </si>
  <si>
    <t>Phù Liễn</t>
  </si>
  <si>
    <t>VNM.23.10_1</t>
  </si>
  <si>
    <t>Kiến Thuỵ</t>
  </si>
  <si>
    <t>Kien Thuy</t>
  </si>
  <si>
    <t>Kiến Hưng</t>
  </si>
  <si>
    <t>VNM.23.11_1</t>
  </si>
  <si>
    <t>Lê Chân</t>
  </si>
  <si>
    <t>Le Chan</t>
  </si>
  <si>
    <t>VNM.23.12_1</t>
  </si>
  <si>
    <t>Ngô Quyền</t>
  </si>
  <si>
    <t>Ngo Quyen</t>
  </si>
  <si>
    <t>VNM.23.13_1</t>
  </si>
  <si>
    <t>Thuỷ Nguyên</t>
  </si>
  <si>
    <t>Thuy Nguyen</t>
  </si>
  <si>
    <t>VNM.23.14_1</t>
  </si>
  <si>
    <t>Tiên Lãng</t>
  </si>
  <si>
    <t>Tien Lang</t>
  </si>
  <si>
    <t>Tiên Minh</t>
  </si>
  <si>
    <t>VNM.23.15_1</t>
  </si>
  <si>
    <t>Vĩnh Bảo</t>
  </si>
  <si>
    <t>Vinh Bao</t>
  </si>
  <si>
    <t>VNM.24.2_1</t>
  </si>
  <si>
    <t>VNM.24_1</t>
  </si>
  <si>
    <t>Hậu Giang</t>
  </si>
  <si>
    <t>VNM.24.1_1</t>
  </si>
  <si>
    <t>Châu Thành A</t>
  </si>
  <si>
    <t>Chau Thanh A</t>
  </si>
  <si>
    <t>Một Ngàn</t>
  </si>
  <si>
    <t>VNM.24.4_1</t>
  </si>
  <si>
    <t>Long Mỹ</t>
  </si>
  <si>
    <t>Long My</t>
  </si>
  <si>
    <t>Vĩnh Viễn</t>
  </si>
  <si>
    <t>VNM.24.3_1</t>
  </si>
  <si>
    <t>Long Mỹ (Thị xã)</t>
  </si>
  <si>
    <t>VNM.24.5_1</t>
  </si>
  <si>
    <t>Ngã Bảy</t>
  </si>
  <si>
    <t>Nga Bay</t>
  </si>
  <si>
    <t>Đại Thành</t>
  </si>
  <si>
    <t>VNM.24.6_1</t>
  </si>
  <si>
    <t>Phụng Hiệp</t>
  </si>
  <si>
    <t>Phung Hiep</t>
  </si>
  <si>
    <t>VNM.24.7_1</t>
  </si>
  <si>
    <t>Vị Thanh</t>
  </si>
  <si>
    <t>Vi Thanh</t>
  </si>
  <si>
    <t>VNM.24.8_1</t>
  </si>
  <si>
    <t>Vị Thuỷ</t>
  </si>
  <si>
    <t>Vi Thuy</t>
  </si>
  <si>
    <t>Vĩnh Tường</t>
  </si>
  <si>
    <t>VNM.25.1_1</t>
  </si>
  <si>
    <t>VNM.25_1</t>
  </si>
  <si>
    <t>Bình Chánh</t>
  </si>
  <si>
    <t>Binh Chanh</t>
  </si>
  <si>
    <t>Tân Tạo</t>
  </si>
  <si>
    <t>VNM.25.2_1</t>
  </si>
  <si>
    <t>Bình Tân</t>
  </si>
  <si>
    <t>Binh Tan</t>
  </si>
  <si>
    <t>Bình Trị Đông</t>
  </si>
  <si>
    <t>VNM.25.3_1</t>
  </si>
  <si>
    <t>Bình Thạnh</t>
  </si>
  <si>
    <t>Binh Thanh</t>
  </si>
  <si>
    <t>VNM.25.4_1</t>
  </si>
  <si>
    <t>Cần Giờ</t>
  </si>
  <si>
    <t>Can Gio</t>
  </si>
  <si>
    <t>VNM.25.5_1</t>
  </si>
  <si>
    <t>Củ Chi</t>
  </si>
  <si>
    <t>Cu Chi</t>
  </si>
  <si>
    <t>Nhuận Đức</t>
  </si>
  <si>
    <t>VNM.25.6_1</t>
  </si>
  <si>
    <t>Gò Vấp</t>
  </si>
  <si>
    <t>Go Vap</t>
  </si>
  <si>
    <t>VNM.25.7_1</t>
  </si>
  <si>
    <t>Hóc Môn</t>
  </si>
  <si>
    <t>Hoc Mon</t>
  </si>
  <si>
    <t>VNM.25.8_1</t>
  </si>
  <si>
    <t>Nhà Bè</t>
  </si>
  <si>
    <t>Nha Be</t>
  </si>
  <si>
    <t>Hiệp Phước</t>
  </si>
  <si>
    <t>VNM.25.9_1</t>
  </si>
  <si>
    <t>Phú Nhuận</t>
  </si>
  <si>
    <t>Phu Nhuan</t>
  </si>
  <si>
    <t>Đức Nhuận</t>
  </si>
  <si>
    <t>VNM.25.13_1</t>
  </si>
  <si>
    <t>Quận 1</t>
  </si>
  <si>
    <t>District 1</t>
  </si>
  <si>
    <t>Sài Gòn</t>
  </si>
  <si>
    <t>VNM.25.10_1</t>
  </si>
  <si>
    <t>Quận 10</t>
  </si>
  <si>
    <t>District 10</t>
  </si>
  <si>
    <t>Hoà Hưng</t>
  </si>
  <si>
    <t>VNM.25.11_1</t>
  </si>
  <si>
    <t>Quận 11</t>
  </si>
  <si>
    <t>District 11</t>
  </si>
  <si>
    <t>Bình Thới</t>
  </si>
  <si>
    <t>VNM.25.12_1</t>
  </si>
  <si>
    <t>Quận 12</t>
  </si>
  <si>
    <t>District 12</t>
  </si>
  <si>
    <t>Thới An</t>
  </si>
  <si>
    <t>VNM.25.14_1</t>
  </si>
  <si>
    <t>Quận 2</t>
  </si>
  <si>
    <t>District 2</t>
  </si>
  <si>
    <t>Cát Lái</t>
  </si>
  <si>
    <t>VNM.25.15_1</t>
  </si>
  <si>
    <t>Quận 3</t>
  </si>
  <si>
    <t>District 3</t>
  </si>
  <si>
    <t>Nhiêu Lộc</t>
  </si>
  <si>
    <t>VNM.25.16_1</t>
  </si>
  <si>
    <t>Quận 4</t>
  </si>
  <si>
    <t>District 4</t>
  </si>
  <si>
    <t>Khánh Hội</t>
  </si>
  <si>
    <t>VNM.25.17_1</t>
  </si>
  <si>
    <t>Quận 5</t>
  </si>
  <si>
    <t>District 5</t>
  </si>
  <si>
    <t>An Đông</t>
  </si>
  <si>
    <t>VNM.25.18_1</t>
  </si>
  <si>
    <t>Quận 6</t>
  </si>
  <si>
    <t>District 6</t>
  </si>
  <si>
    <t>VNM.25.19_1</t>
  </si>
  <si>
    <t>Quận 7</t>
  </si>
  <si>
    <t>District 7</t>
  </si>
  <si>
    <t>Tân Mỹ</t>
  </si>
  <si>
    <t>VNM.25.20_1</t>
  </si>
  <si>
    <t>Quận 8</t>
  </si>
  <si>
    <t>District 8</t>
  </si>
  <si>
    <t>Bình Hưng</t>
  </si>
  <si>
    <t>VNM.25.21_1</t>
  </si>
  <si>
    <t>Quận 9</t>
  </si>
  <si>
    <t>District 9</t>
  </si>
  <si>
    <t>Long Phước</t>
  </si>
  <si>
    <t>VNM.25.22_1</t>
  </si>
  <si>
    <t>Tân Bình</t>
  </si>
  <si>
    <t>Tan Binh</t>
  </si>
  <si>
    <t>Bảy Hiền</t>
  </si>
  <si>
    <t>VNM.25.23_1</t>
  </si>
  <si>
    <t>Phú Thọ Hoà</t>
  </si>
  <si>
    <t>VNM.25.24_1</t>
  </si>
  <si>
    <t>Thủ Đức</t>
  </si>
  <si>
    <t>Thu Duc</t>
  </si>
  <si>
    <t>Hiệp Bình</t>
  </si>
  <si>
    <t>VNM.30.1_1</t>
  </si>
  <si>
    <t>VNM.30_1</t>
  </si>
  <si>
    <t>Cao Phong</t>
  </si>
  <si>
    <t>Phú Thọ</t>
  </si>
  <si>
    <t>VNM.30.2_1</t>
  </si>
  <si>
    <t>Đà Bắc</t>
  </si>
  <si>
    <t>Da Bac</t>
  </si>
  <si>
    <t>Quy Đức</t>
  </si>
  <si>
    <t>VNM.30.3_1</t>
  </si>
  <si>
    <t>Hòa Bình</t>
  </si>
  <si>
    <t>VNM.30.5_1</t>
  </si>
  <si>
    <t>Kim Bôi</t>
  </si>
  <si>
    <t>Kim Boi</t>
  </si>
  <si>
    <t>VNM.30.4_1</t>
  </si>
  <si>
    <t>Kỳ Sơn</t>
  </si>
  <si>
    <t>Ky Son</t>
  </si>
  <si>
    <t>VNM.30.6_1</t>
  </si>
  <si>
    <t>Lạc Sơn</t>
  </si>
  <si>
    <t>Lac Son</t>
  </si>
  <si>
    <t>Yên Phú</t>
  </si>
  <si>
    <t>VNM.30.7_1</t>
  </si>
  <si>
    <t>Lạc Thủy</t>
  </si>
  <si>
    <t>Lac Thuy</t>
  </si>
  <si>
    <t>VNM.30.8_1</t>
  </si>
  <si>
    <t>Luong Son</t>
  </si>
  <si>
    <t>Liên Sơn</t>
  </si>
  <si>
    <t>VNM.30.9_1</t>
  </si>
  <si>
    <t>Mai Châu</t>
  </si>
  <si>
    <t>Mai Chau</t>
  </si>
  <si>
    <t>VNM.30.10_1</t>
  </si>
  <si>
    <t>Tân Lạc</t>
  </si>
  <si>
    <t>Tan Lac</t>
  </si>
  <si>
    <t>Toàn Thắng</t>
  </si>
  <si>
    <t>VNM.30.11_1</t>
  </si>
  <si>
    <t>Yên Thủy</t>
  </si>
  <si>
    <t>Yen Thuy</t>
  </si>
  <si>
    <t>Yên Thuỷ</t>
  </si>
  <si>
    <t>VNM.31.1_1</t>
  </si>
  <si>
    <t>VNM.31_1</t>
  </si>
  <si>
    <t>Hưng Yên</t>
  </si>
  <si>
    <t>Ân Thi</t>
  </si>
  <si>
    <t>An Thi</t>
  </si>
  <si>
    <t>VNM.31.2_1</t>
  </si>
  <si>
    <t>Hung Yen</t>
  </si>
  <si>
    <t>Phố Hiến</t>
  </si>
  <si>
    <t>VNM.31.3_1</t>
  </si>
  <si>
    <t>Khoái Châu</t>
  </si>
  <si>
    <t>Khoai Chau</t>
  </si>
  <si>
    <t>VNM.31.4_1</t>
  </si>
  <si>
    <t>Kim Động</t>
  </si>
  <si>
    <t>Kim Dong</t>
  </si>
  <si>
    <t>Hiệp Cường</t>
  </si>
  <si>
    <t>VNM.31.5_1</t>
  </si>
  <si>
    <t>Mỹ Hào</t>
  </si>
  <si>
    <t>My Hao</t>
  </si>
  <si>
    <t>VNM.31.6_1</t>
  </si>
  <si>
    <t>Phù Cừ</t>
  </si>
  <si>
    <t>Phu Cu</t>
  </si>
  <si>
    <t>Tiên Tiến</t>
  </si>
  <si>
    <t>VNM.31.7_1</t>
  </si>
  <si>
    <t>Tiên Lữ</t>
  </si>
  <si>
    <t>Tien Lu</t>
  </si>
  <si>
    <t>VNM.31.8_1</t>
  </si>
  <si>
    <t>Văn Giang</t>
  </si>
  <si>
    <t>Van Giang</t>
  </si>
  <si>
    <t>Nghĩa Trụ</t>
  </si>
  <si>
    <t>VNM.31.9_1</t>
  </si>
  <si>
    <t>Văn Lâm</t>
  </si>
  <si>
    <t>Van Lam</t>
  </si>
  <si>
    <t>Lạc Đạo</t>
  </si>
  <si>
    <t>VNM.31.10_1</t>
  </si>
  <si>
    <t>Yên Mỹ</t>
  </si>
  <si>
    <t>Yen My</t>
  </si>
  <si>
    <t>VNM.32.1_1</t>
  </si>
  <si>
    <t>VNM.32_1</t>
  </si>
  <si>
    <t>Khánh Hòa</t>
  </si>
  <si>
    <t>Cam Lâm</t>
  </si>
  <si>
    <t>Cam Lam</t>
  </si>
  <si>
    <t>Cam Hiệp</t>
  </si>
  <si>
    <t>VNM.32.2_1</t>
  </si>
  <si>
    <t>Cam Ranh</t>
  </si>
  <si>
    <t>VNM.32.3_1</t>
  </si>
  <si>
    <t>Diên Khánh</t>
  </si>
  <si>
    <t>Dien Khanh</t>
  </si>
  <si>
    <t>Diên Lâm</t>
  </si>
  <si>
    <t>VNM.32.4_1</t>
  </si>
  <si>
    <t>Khánh Sơn</t>
  </si>
  <si>
    <t>Khanh Son</t>
  </si>
  <si>
    <t>VNM.32.5_1</t>
  </si>
  <si>
    <t>Khánh Vĩnh</t>
  </si>
  <si>
    <t>Khanh Vinh</t>
  </si>
  <si>
    <t>Tây Khánh Vĩnh</t>
  </si>
  <si>
    <t>VNM.32.6_1</t>
  </si>
  <si>
    <t>Nha Trang</t>
  </si>
  <si>
    <t>Tây Nha Trang</t>
  </si>
  <si>
    <t>VNM.32.7_1</t>
  </si>
  <si>
    <t>Ninh Hòa</t>
  </si>
  <si>
    <t>Ninh Hoa</t>
  </si>
  <si>
    <t>Hoà Trí</t>
  </si>
  <si>
    <t>VNM.32.8_1</t>
  </si>
  <si>
    <t>Vạn Ninh</t>
  </si>
  <si>
    <t>Van Ninh</t>
  </si>
  <si>
    <t>Vạn Thắng</t>
  </si>
  <si>
    <t>VNM.33.1_1</t>
  </si>
  <si>
    <t>VNM.33_1</t>
  </si>
  <si>
    <t>Kiên Giang</t>
  </si>
  <si>
    <t>An Biên</t>
  </si>
  <si>
    <t>An Bien</t>
  </si>
  <si>
    <t>VNM.33.2_1</t>
  </si>
  <si>
    <t>An Minh</t>
  </si>
  <si>
    <t>VNM.33.3_1</t>
  </si>
  <si>
    <t>VNM.33.5_1</t>
  </si>
  <si>
    <t>Giang Thành</t>
  </si>
  <si>
    <t>Giang Thanh</t>
  </si>
  <si>
    <t>Vĩnh Điều</t>
  </si>
  <si>
    <t>VNM.33.4_1</t>
  </si>
  <si>
    <t>Giồng Riềng</t>
  </si>
  <si>
    <t>Giong Rieng</t>
  </si>
  <si>
    <t>Ngọc Trung</t>
  </si>
  <si>
    <t>VNM.33.6_1</t>
  </si>
  <si>
    <t>Gò Quao</t>
  </si>
  <si>
    <t>Go Quao</t>
  </si>
  <si>
    <t>VNM.33.7_1</t>
  </si>
  <si>
    <t>Hà Tiên</t>
  </si>
  <si>
    <t>Ha Tien</t>
  </si>
  <si>
    <t>VNM.33.8_1</t>
  </si>
  <si>
    <t>Hòn Đất</t>
  </si>
  <si>
    <t>Hon Dat</t>
  </si>
  <si>
    <t>VNM.33.9_1</t>
  </si>
  <si>
    <t>Kiên Hải</t>
  </si>
  <si>
    <t>Kien Hai</t>
  </si>
  <si>
    <t>VNM.33.10_1</t>
  </si>
  <si>
    <t>Kiên Lương</t>
  </si>
  <si>
    <t>Kien Luong</t>
  </si>
  <si>
    <t>Hoà Điền</t>
  </si>
  <si>
    <t>VNM.33.11_1</t>
  </si>
  <si>
    <t>Phú Quốc</t>
  </si>
  <si>
    <t>Phu Quoc</t>
  </si>
  <si>
    <t>VNM.33.12_1</t>
  </si>
  <si>
    <t>Rạch Giá</t>
  </si>
  <si>
    <t>Rach Gia</t>
  </si>
  <si>
    <t>Vĩnh Thông</t>
  </si>
  <si>
    <t>VNM.33.13_1</t>
  </si>
  <si>
    <t>Tan Hiep</t>
  </si>
  <si>
    <t>Thạnh Đông</t>
  </si>
  <si>
    <t>VNM.33.14_1</t>
  </si>
  <si>
    <t>U Minh Thượng</t>
  </si>
  <si>
    <t>U Minh Thuong</t>
  </si>
  <si>
    <t>VNM.33.15_1</t>
  </si>
  <si>
    <t>Vĩnh Thuận</t>
  </si>
  <si>
    <t>Vinh Thuan</t>
  </si>
  <si>
    <t>Vĩnh Bình</t>
  </si>
  <si>
    <t>VNM.34.1_1</t>
  </si>
  <si>
    <t>VNM.34_1</t>
  </si>
  <si>
    <t>Kon Tum</t>
  </si>
  <si>
    <t>Đắk Glei</t>
  </si>
  <si>
    <t>Dak Glei</t>
  </si>
  <si>
    <t>Đăk Pék</t>
  </si>
  <si>
    <t>Quảng Ngãi</t>
  </si>
  <si>
    <t>VNM.34.2_1</t>
  </si>
  <si>
    <t>Đắk Hà</t>
  </si>
  <si>
    <t>Dak Ha</t>
  </si>
  <si>
    <t>Đăk Ui</t>
  </si>
  <si>
    <t>VNM.34.3_1</t>
  </si>
  <si>
    <t>Đắk Tô</t>
  </si>
  <si>
    <t>Dak To</t>
  </si>
  <si>
    <t>Kon Đào</t>
  </si>
  <si>
    <t>VNM.34.4_1</t>
  </si>
  <si>
    <t>Ia H' Drai</t>
  </si>
  <si>
    <t>Ia Tơi</t>
  </si>
  <si>
    <t>VNM.34.5_1</t>
  </si>
  <si>
    <t>Kon Plông</t>
  </si>
  <si>
    <t>Kon Plong</t>
  </si>
  <si>
    <t>VNM.34.6_1</t>
  </si>
  <si>
    <t>Kon Rẫy</t>
  </si>
  <si>
    <t>Kon Ray</t>
  </si>
  <si>
    <t>Đăk Kôi</t>
  </si>
  <si>
    <t>VNM.34.7_1</t>
  </si>
  <si>
    <t>Đăk Bla</t>
  </si>
  <si>
    <t>VNM.34.8_1</t>
  </si>
  <si>
    <t>Ngọc Hồi</t>
  </si>
  <si>
    <t>Ngoc Hoi</t>
  </si>
  <si>
    <t>Bờ Y</t>
  </si>
  <si>
    <t>VNM.34.9_1</t>
  </si>
  <si>
    <t>Sa Thầy</t>
  </si>
  <si>
    <t>Sa Thay</t>
  </si>
  <si>
    <t>Mô Rai</t>
  </si>
  <si>
    <t>VNM.34.10_1</t>
  </si>
  <si>
    <t>Tu Mơ Rông</t>
  </si>
  <si>
    <t>Tu Mo Rong</t>
  </si>
  <si>
    <t>VNM.36.1_1</t>
  </si>
  <si>
    <t>VNM.36_1</t>
  </si>
  <si>
    <t>Lai Châu</t>
  </si>
  <si>
    <t>Lai Chau</t>
  </si>
  <si>
    <t>Đoàn Kết</t>
  </si>
  <si>
    <t>VNM.36.2_1</t>
  </si>
  <si>
    <t>Mường Tè</t>
  </si>
  <si>
    <t>Muong Te</t>
  </si>
  <si>
    <t>VNM.36.3_1</t>
  </si>
  <si>
    <t>Nậm Nhùn</t>
  </si>
  <si>
    <t>Nam Nhun</t>
  </si>
  <si>
    <t>Nậm Hàng</t>
  </si>
  <si>
    <t>VNM.36.4_1</t>
  </si>
  <si>
    <t>Phong Thổ</t>
  </si>
  <si>
    <t>Phong Tho</t>
  </si>
  <si>
    <t>Khổng Lào</t>
  </si>
  <si>
    <t>VNM.36.5_1</t>
  </si>
  <si>
    <t>Sìn Hồ</t>
  </si>
  <si>
    <t>Sin Ho</t>
  </si>
  <si>
    <t>Tủa Sín Chải</t>
  </si>
  <si>
    <t>VNM.36.6_1</t>
  </si>
  <si>
    <t>Tam Đường</t>
  </si>
  <si>
    <t>Tam Duong</t>
  </si>
  <si>
    <t>Bình Lư</t>
  </si>
  <si>
    <t>VNM.36.7_1</t>
  </si>
  <si>
    <t>VNM.36.8_1</t>
  </si>
  <si>
    <t>Than Uyên</t>
  </si>
  <si>
    <t>Than Uyen</t>
  </si>
  <si>
    <t>Mường Kim</t>
  </si>
  <si>
    <t>VNM.37.2_1</t>
  </si>
  <si>
    <t>VNM.37_1</t>
  </si>
  <si>
    <t>Bảo Lâm 4</t>
  </si>
  <si>
    <t>VNM.37.1_1</t>
  </si>
  <si>
    <t>Bảo Lộc</t>
  </si>
  <si>
    <t>Bao Loc</t>
  </si>
  <si>
    <t>3 Bảo Lộc</t>
  </si>
  <si>
    <t>VNM.37.3_1</t>
  </si>
  <si>
    <t>Cát Tiên</t>
  </si>
  <si>
    <t>Cat Tien</t>
  </si>
  <si>
    <t>Cát Tiên 3</t>
  </si>
  <si>
    <t>VNM.37.4_1</t>
  </si>
  <si>
    <t>Đạ Huoai</t>
  </si>
  <si>
    <t>Da Huoai</t>
  </si>
  <si>
    <t>Đạ Huoai 2</t>
  </si>
  <si>
    <t>VNM.37.7_1</t>
  </si>
  <si>
    <t>Đà Lạt</t>
  </si>
  <si>
    <t>Da Lat</t>
  </si>
  <si>
    <t>Xuân Hương - Đà Lạt</t>
  </si>
  <si>
    <t>VNM.37.5_1</t>
  </si>
  <si>
    <t>Đạ Tẻh</t>
  </si>
  <si>
    <t>Da Teh</t>
  </si>
  <si>
    <t>Đạ Tẻh 3</t>
  </si>
  <si>
    <t>VNM.37.8_1</t>
  </si>
  <si>
    <t>Đam Rông</t>
  </si>
  <si>
    <t>Dam Rong</t>
  </si>
  <si>
    <t>Đam Rông 2</t>
  </si>
  <si>
    <t>VNM.37.9_1</t>
  </si>
  <si>
    <t>Di Linh</t>
  </si>
  <si>
    <t>VNM.37.10_1</t>
  </si>
  <si>
    <t>Đơn Dương</t>
  </si>
  <si>
    <t>Don Duong</t>
  </si>
  <si>
    <t>Ka Đô</t>
  </si>
  <si>
    <t>VNM.37.6_1</t>
  </si>
  <si>
    <t>Đức Trọng</t>
  </si>
  <si>
    <t>Duc Trong</t>
  </si>
  <si>
    <t>VNM.37.11_1</t>
  </si>
  <si>
    <t>Lạc Dương</t>
  </si>
  <si>
    <t>Lac Duong</t>
  </si>
  <si>
    <t>VNM.37.12_1</t>
  </si>
  <si>
    <t>Lâm Hà</t>
  </si>
  <si>
    <t>Lam Ha</t>
  </si>
  <si>
    <t>Phú Sơn - Lâm Hà</t>
  </si>
  <si>
    <t>VNM.35.1_1</t>
  </si>
  <si>
    <t>VNM.35_1</t>
  </si>
  <si>
    <t>Lạng Sơn</t>
  </si>
  <si>
    <t>Bắc Sơn</t>
  </si>
  <si>
    <t>Bac Son</t>
  </si>
  <si>
    <t>Vũ Lăng</t>
  </si>
  <si>
    <t>VNM.35.2_1</t>
  </si>
  <si>
    <t>Bình Gia</t>
  </si>
  <si>
    <t>Binh Gia</t>
  </si>
  <si>
    <t>Thiện Thuật</t>
  </si>
  <si>
    <t>VNM.35.3_1</t>
  </si>
  <si>
    <t>Cao Lộc</t>
  </si>
  <si>
    <t>Cao Loc</t>
  </si>
  <si>
    <t>Công Sơn</t>
  </si>
  <si>
    <t>VNM.35.4_1</t>
  </si>
  <si>
    <t>Chi Lăng</t>
  </si>
  <si>
    <t>Chi Lang</t>
  </si>
  <si>
    <t>Nhân Lý</t>
  </si>
  <si>
    <t>VNM.35.5_1</t>
  </si>
  <si>
    <t>Đình Lập</t>
  </si>
  <si>
    <t>Dinh Lap</t>
  </si>
  <si>
    <t>VNM.35.6_1</t>
  </si>
  <si>
    <t>Hữu Lũng</t>
  </si>
  <si>
    <t>Huu Lung</t>
  </si>
  <si>
    <t>Cai Kinh</t>
  </si>
  <si>
    <t>VNM.35.7_1</t>
  </si>
  <si>
    <t>Lang Son</t>
  </si>
  <si>
    <t>Tam Thanh</t>
  </si>
  <si>
    <t>VNM.35.8_1</t>
  </si>
  <si>
    <t>Lộc Bình</t>
  </si>
  <si>
    <t>Loc Binh</t>
  </si>
  <si>
    <t>Na Dương</t>
  </si>
  <si>
    <t>VNM.35.9_1</t>
  </si>
  <si>
    <t>Tràng Định</t>
  </si>
  <si>
    <t>Trang Dinh</t>
  </si>
  <si>
    <t>Thất Khê</t>
  </si>
  <si>
    <t>VNM.35.10_1</t>
  </si>
  <si>
    <t>Văn Lãng</t>
  </si>
  <si>
    <t>Van Lang</t>
  </si>
  <si>
    <t>VNM.35.11_1</t>
  </si>
  <si>
    <t>Văn Quan</t>
  </si>
  <si>
    <t>Van Quan</t>
  </si>
  <si>
    <t>Yên Phúc</t>
  </si>
  <si>
    <t>VNM.38.3_1</t>
  </si>
  <si>
    <t>VNM.38_1</t>
  </si>
  <si>
    <t>Lào Cai</t>
  </si>
  <si>
    <t>Bắc Hà</t>
  </si>
  <si>
    <t>Bac Ha</t>
  </si>
  <si>
    <t>VNM.38.1_1</t>
  </si>
  <si>
    <t>Bảo Thắng</t>
  </si>
  <si>
    <t>Bao Thang</t>
  </si>
  <si>
    <t>VNM.38.2_1</t>
  </si>
  <si>
    <t>Bảo Yên</t>
  </si>
  <si>
    <t>Bao Yen</t>
  </si>
  <si>
    <t>Xuân Hoà</t>
  </si>
  <si>
    <t>VNM.38.4_1</t>
  </si>
  <si>
    <t>Bát Xát</t>
  </si>
  <si>
    <t>Bat Xat</t>
  </si>
  <si>
    <t>Dền Sáng</t>
  </si>
  <si>
    <t>VNM.38.5_1</t>
  </si>
  <si>
    <t>Lao Cai</t>
  </si>
  <si>
    <t>Hợp Thành</t>
  </si>
  <si>
    <t>VNM.38.6_1</t>
  </si>
  <si>
    <t>Mường Khương</t>
  </si>
  <si>
    <t>Muong Khuong</t>
  </si>
  <si>
    <t>Cao Sơn</t>
  </si>
  <si>
    <t>VNM.38.7_1</t>
  </si>
  <si>
    <t>Sa Pa</t>
  </si>
  <si>
    <t>Tả Van</t>
  </si>
  <si>
    <t>VNM.38.8_1</t>
  </si>
  <si>
    <t>Si Ma Cai</t>
  </si>
  <si>
    <t>VNM.38.9_1</t>
  </si>
  <si>
    <t>Văn Bàn</t>
  </si>
  <si>
    <t>Van Ban</t>
  </si>
  <si>
    <t>VNM.39.1_1</t>
  </si>
  <si>
    <t>VNM.39_1</t>
  </si>
  <si>
    <t>Long An</t>
  </si>
  <si>
    <t>Bến Lức</t>
  </si>
  <si>
    <t>Ben Luc</t>
  </si>
  <si>
    <t>Lương Hoà</t>
  </si>
  <si>
    <t>Tây Ninh</t>
  </si>
  <si>
    <t>VNM.39.2_1</t>
  </si>
  <si>
    <t>Cần Đước</t>
  </si>
  <si>
    <t>Can Duoc</t>
  </si>
  <si>
    <t>Tân Lân</t>
  </si>
  <si>
    <t>VNM.39.3_1</t>
  </si>
  <si>
    <t>Cần Giuộc</t>
  </si>
  <si>
    <t>Can Giuoc</t>
  </si>
  <si>
    <t>VNM.39.4_1</t>
  </si>
  <si>
    <t>Tầm Vu</t>
  </si>
  <si>
    <t>VNM.39.5_1</t>
  </si>
  <si>
    <t>Đức Hòa</t>
  </si>
  <si>
    <t>Duc Hoa</t>
  </si>
  <si>
    <t>Hậu Nghĩa</t>
  </si>
  <si>
    <t>VNM.39.6_1</t>
  </si>
  <si>
    <t>Đức Huệ</t>
  </si>
  <si>
    <t>Duc Hue</t>
  </si>
  <si>
    <t>Đông Thành</t>
  </si>
  <si>
    <t>VNM.39.7_1</t>
  </si>
  <si>
    <t>Kiến Tường</t>
  </si>
  <si>
    <t>Kien Tuong</t>
  </si>
  <si>
    <t>Tuyên Thạnh</t>
  </si>
  <si>
    <t>VNM.39.8_1</t>
  </si>
  <si>
    <t>Mộc Hóa</t>
  </si>
  <si>
    <t>Moc Hoa</t>
  </si>
  <si>
    <t>Bình Hoà</t>
  </si>
  <si>
    <t>VNM.39.9_1</t>
  </si>
  <si>
    <t>Tan An</t>
  </si>
  <si>
    <t>VNM.39.10_1</t>
  </si>
  <si>
    <t>Tan Hung</t>
  </si>
  <si>
    <t>VNM.39.11_1</t>
  </si>
  <si>
    <t>Nhơn Hoà Lập</t>
  </si>
  <si>
    <t>VNM.39.12_1</t>
  </si>
  <si>
    <t>Tân Trụ</t>
  </si>
  <si>
    <t>Tan Tru</t>
  </si>
  <si>
    <t>VNM.39.13_1</t>
  </si>
  <si>
    <t>Thạnh Hóa</t>
  </si>
  <si>
    <t>Thanh Hoa</t>
  </si>
  <si>
    <t>Thạnh Hoá</t>
  </si>
  <si>
    <t>VNM.39.14_1</t>
  </si>
  <si>
    <t>Thủ Thừa</t>
  </si>
  <si>
    <t>Thu Thua</t>
  </si>
  <si>
    <t>Mỹ Thạnh</t>
  </si>
  <si>
    <t>VNM.39.15_1</t>
  </si>
  <si>
    <t>Vĩnh Hưng</t>
  </si>
  <si>
    <t>Vinh Hung</t>
  </si>
  <si>
    <t>VNM.40.1_1</t>
  </si>
  <si>
    <t>VNM.40_1</t>
  </si>
  <si>
    <t>Nam Định</t>
  </si>
  <si>
    <t>Giao Thủy</t>
  </si>
  <si>
    <t>Giao Thuy</t>
  </si>
  <si>
    <t>Giao Thuỷ</t>
  </si>
  <si>
    <t>VNM.40.2_1</t>
  </si>
  <si>
    <t>Hải Hậu</t>
  </si>
  <si>
    <t>Hai Hau</t>
  </si>
  <si>
    <t>Hải Tiến</t>
  </si>
  <si>
    <t>VNM.40.3_1</t>
  </si>
  <si>
    <t>Mỹ Lộc</t>
  </si>
  <si>
    <t>My Loc</t>
  </si>
  <si>
    <t>Đông A</t>
  </si>
  <si>
    <t>VNM.40.4_1</t>
  </si>
  <si>
    <t>Nam Dinh</t>
  </si>
  <si>
    <t>VNM.40.5_1</t>
  </si>
  <si>
    <t>Nam Trực</t>
  </si>
  <si>
    <t>Nam Truc</t>
  </si>
  <si>
    <t>VNM.40.6_1</t>
  </si>
  <si>
    <t>Nghĩa Hưng</t>
  </si>
  <si>
    <t>Nghia Hung</t>
  </si>
  <si>
    <t>Hồng Phong</t>
  </si>
  <si>
    <t>VNM.40.7_1</t>
  </si>
  <si>
    <t>Trực Ninh</t>
  </si>
  <si>
    <t>Truc Ninh</t>
  </si>
  <si>
    <t>VNM.40.8_1</t>
  </si>
  <si>
    <t>Vụ Bản</t>
  </si>
  <si>
    <t>Vu Ban</t>
  </si>
  <si>
    <t>Hiển Khánh</t>
  </si>
  <si>
    <t>VNM.40.9_1</t>
  </si>
  <si>
    <t>Xuân Trường</t>
  </si>
  <si>
    <t>Xuan Truong</t>
  </si>
  <si>
    <t>Trà Lũ</t>
  </si>
  <si>
    <t>VNM.40.10_1</t>
  </si>
  <si>
    <t>Ý Yên</t>
  </si>
  <si>
    <t>Y Yen</t>
  </si>
  <si>
    <t>VNM.41.1_1</t>
  </si>
  <si>
    <t>VNM.41_1</t>
  </si>
  <si>
    <t>Nghệ An</t>
  </si>
  <si>
    <t>Anh Sơn</t>
  </si>
  <si>
    <t>Anh Son</t>
  </si>
  <si>
    <t>VNM.41.3_1</t>
  </si>
  <si>
    <t>Con Cuông</t>
  </si>
  <si>
    <t>Con Cuong</t>
  </si>
  <si>
    <t>VNM.41.2_1</t>
  </si>
  <si>
    <t>Cửa Lò</t>
  </si>
  <si>
    <t>Cua Lo</t>
  </si>
  <si>
    <t>VNM.41.4_1</t>
  </si>
  <si>
    <t>Diễn Châu</t>
  </si>
  <si>
    <t>Dien Chau</t>
  </si>
  <si>
    <t>Minh Châu</t>
  </si>
  <si>
    <t>VNM.41.5_1</t>
  </si>
  <si>
    <t>Đô Lương</t>
  </si>
  <si>
    <t>Do Luong</t>
  </si>
  <si>
    <t>VNM.41.6_1</t>
  </si>
  <si>
    <t>VNM.41.7_1</t>
  </si>
  <si>
    <t>Hưng Nguyên</t>
  </si>
  <si>
    <t>Hung Nguyen</t>
  </si>
  <si>
    <t>VNM.41.8_1</t>
  </si>
  <si>
    <t>Nậm Cắn</t>
  </si>
  <si>
    <t>VNM.41.9_1</t>
  </si>
  <si>
    <t>Nam Đàn</t>
  </si>
  <si>
    <t>Nam Dan</t>
  </si>
  <si>
    <t>Kim Liên</t>
  </si>
  <si>
    <t>VNM.41.10_1</t>
  </si>
  <si>
    <t>Nghi Lộc</t>
  </si>
  <si>
    <t>Nghi Loc</t>
  </si>
  <si>
    <t>Thần Lĩnh</t>
  </si>
  <si>
    <t>VNM.41.11_1</t>
  </si>
  <si>
    <t>Nghĩa Đàn</t>
  </si>
  <si>
    <t>Nghia Dan</t>
  </si>
  <si>
    <t>Thái Hoà</t>
  </si>
  <si>
    <t>VNM.41.12_1</t>
  </si>
  <si>
    <t>Quế Phong</t>
  </si>
  <si>
    <t>Que Phong</t>
  </si>
  <si>
    <t>Tiền Phong</t>
  </si>
  <si>
    <t>VNM.41.13_1</t>
  </si>
  <si>
    <t>Quỳ Châu</t>
  </si>
  <si>
    <t>Quy Chau</t>
  </si>
  <si>
    <t>VNM.41.14_1</t>
  </si>
  <si>
    <t>Quỳ Hợp</t>
  </si>
  <si>
    <t>Quy Hop</t>
  </si>
  <si>
    <t>VNM.41.15_1</t>
  </si>
  <si>
    <t>Quỳnh Lưu</t>
  </si>
  <si>
    <t>Quynh Luu</t>
  </si>
  <si>
    <t>Quỳnh Sơn</t>
  </si>
  <si>
    <t>VNM.41.16_1</t>
  </si>
  <si>
    <t>Tân Kỳ</t>
  </si>
  <si>
    <t>Tan Ky</t>
  </si>
  <si>
    <t>VNM.41.17_1</t>
  </si>
  <si>
    <t>Thai Hoa</t>
  </si>
  <si>
    <t>VNM.41.18_1</t>
  </si>
  <si>
    <t>Thanh Chương</t>
  </si>
  <si>
    <t>Thanh Chuong</t>
  </si>
  <si>
    <t>Hoa Quân</t>
  </si>
  <si>
    <t>VNM.41.19_1</t>
  </si>
  <si>
    <t>Tương Dương</t>
  </si>
  <si>
    <t>Tuong Duong</t>
  </si>
  <si>
    <t>Yên Na</t>
  </si>
  <si>
    <t>VNM.41.20_1</t>
  </si>
  <si>
    <t>Vinh</t>
  </si>
  <si>
    <t>Vinh Phú</t>
  </si>
  <si>
    <t>VNM.41.21_1</t>
  </si>
  <si>
    <t>Yên Thành</t>
  </si>
  <si>
    <t>Yen Thanh</t>
  </si>
  <si>
    <t>VNM.42.1_1</t>
  </si>
  <si>
    <t>VNM.42_1</t>
  </si>
  <si>
    <t>Gia Viễn</t>
  </si>
  <si>
    <t>Gia Vien</t>
  </si>
  <si>
    <t>Đại Hoàng</t>
  </si>
  <si>
    <t>VNM.42.2_1</t>
  </si>
  <si>
    <t>Hoa Lư</t>
  </si>
  <si>
    <t>Hoa Lu</t>
  </si>
  <si>
    <t>Tây Hoa Lư</t>
  </si>
  <si>
    <t>VNM.42.3_1</t>
  </si>
  <si>
    <t>Kim Sơn</t>
  </si>
  <si>
    <t>Kim Son</t>
  </si>
  <si>
    <t>Định Hoá</t>
  </si>
  <si>
    <t>VNM.42.4_1</t>
  </si>
  <si>
    <t>Nho Quan</t>
  </si>
  <si>
    <t>VNM.42.5_1</t>
  </si>
  <si>
    <t>Ninh Binh</t>
  </si>
  <si>
    <t>VNM.42.6_1</t>
  </si>
  <si>
    <t>Tam Điệp</t>
  </si>
  <si>
    <t>Tam Diep</t>
  </si>
  <si>
    <t>VNM.42.7_1</t>
  </si>
  <si>
    <t>Yên Khánh</t>
  </si>
  <si>
    <t>Yen Khanh</t>
  </si>
  <si>
    <t>VNM.42.8_1</t>
  </si>
  <si>
    <t>Yên Mô</t>
  </si>
  <si>
    <t>Yen Mo</t>
  </si>
  <si>
    <t>Đồng Thái</t>
  </si>
  <si>
    <t>VNM.43.1_1</t>
  </si>
  <si>
    <t>VNM.43_1</t>
  </si>
  <si>
    <t>Ninh Thuận</t>
  </si>
  <si>
    <t>Bác Ái</t>
  </si>
  <si>
    <t>Bac Ai</t>
  </si>
  <si>
    <t>VNM.43.2_1</t>
  </si>
  <si>
    <t>Ninh Hải</t>
  </si>
  <si>
    <t>Ninh Hai</t>
  </si>
  <si>
    <t>VNM.43.3_1</t>
  </si>
  <si>
    <t>Ninh Phước</t>
  </si>
  <si>
    <t>Ninh Phuoc</t>
  </si>
  <si>
    <t>Phước Hữu</t>
  </si>
  <si>
    <t>VNM.43.4_1</t>
  </si>
  <si>
    <t>Ninh Sơn</t>
  </si>
  <si>
    <t>Ninh Son</t>
  </si>
  <si>
    <t>Anh Dũng</t>
  </si>
  <si>
    <t>VNM.43.5_1</t>
  </si>
  <si>
    <t>Phan Rang-Tháp Chàm</t>
  </si>
  <si>
    <t>Phan Rang-Thap Cham</t>
  </si>
  <si>
    <t>Bảo An</t>
  </si>
  <si>
    <t>VNM.43.6_1</t>
  </si>
  <si>
    <t>Thuận Bắc</t>
  </si>
  <si>
    <t>Thuan Bac</t>
  </si>
  <si>
    <t>VNM.43.7_1</t>
  </si>
  <si>
    <t>Thuận Nam</t>
  </si>
  <si>
    <t>Thuan Nam</t>
  </si>
  <si>
    <t>VNM.44.1_1</t>
  </si>
  <si>
    <t>VNM.44_1</t>
  </si>
  <si>
    <t>Cẩm Khê</t>
  </si>
  <si>
    <t>Cam Khe</t>
  </si>
  <si>
    <t>VNM.44.2_1</t>
  </si>
  <si>
    <t>Đoan Hùng</t>
  </si>
  <si>
    <t>Doan Hung</t>
  </si>
  <si>
    <t>VNM.44.3_1</t>
  </si>
  <si>
    <t>Hạ Hoà</t>
  </si>
  <si>
    <t>Ha Hoa</t>
  </si>
  <si>
    <t>VNM.44.4_1</t>
  </si>
  <si>
    <t>Lâm Thao</t>
  </si>
  <si>
    <t>Lam Thao</t>
  </si>
  <si>
    <t>Phùng Nguyên</t>
  </si>
  <si>
    <t>VNM.44.5_1</t>
  </si>
  <si>
    <t>Phù Ninh</t>
  </si>
  <si>
    <t>Phu Ninh</t>
  </si>
  <si>
    <t>Dân Chủ</t>
  </si>
  <si>
    <t>VNM.44.6_1</t>
  </si>
  <si>
    <t>Phu Tho</t>
  </si>
  <si>
    <t>VNM.44.7_1</t>
  </si>
  <si>
    <t>Vạn Xuân</t>
  </si>
  <si>
    <t>VNM.44.8_1</t>
  </si>
  <si>
    <t>Tân Sơn</t>
  </si>
  <si>
    <t>Tan Son</t>
  </si>
  <si>
    <t>Xuân Đài</t>
  </si>
  <si>
    <t>VNM.44.9_1</t>
  </si>
  <si>
    <t>Thanh Ba</t>
  </si>
  <si>
    <t>Hoàng Cương</t>
  </si>
  <si>
    <t>VNM.44.10_1</t>
  </si>
  <si>
    <t>Thanh Sơn</t>
  </si>
  <si>
    <t>Thanh Son</t>
  </si>
  <si>
    <t>Văn Miếu</t>
  </si>
  <si>
    <t>VNM.44.11_1</t>
  </si>
  <si>
    <t>Thanh Thuỷ</t>
  </si>
  <si>
    <t>Thanh Thuy</t>
  </si>
  <si>
    <t>VNM.44.12_1</t>
  </si>
  <si>
    <t>Việt Trì</t>
  </si>
  <si>
    <t>Viet Tri</t>
  </si>
  <si>
    <t>Nông Trang</t>
  </si>
  <si>
    <t>VNM.44.13_1</t>
  </si>
  <si>
    <t>Yên Lập</t>
  </si>
  <si>
    <t>Yen Lap</t>
  </si>
  <si>
    <t>Thượng Long</t>
  </si>
  <si>
    <t>VNM.45.2_1</t>
  </si>
  <si>
    <t>VNM.45_1</t>
  </si>
  <si>
    <t>Phú Yên</t>
  </si>
  <si>
    <t>Đông Hòa</t>
  </si>
  <si>
    <t>Dong Hoa</t>
  </si>
  <si>
    <t>Hoà Xuân</t>
  </si>
  <si>
    <t>VNM.45.1_1</t>
  </si>
  <si>
    <t>Đồng Xuân</t>
  </si>
  <si>
    <t>Dong Xuan</t>
  </si>
  <si>
    <t>Phú Mỡ</t>
  </si>
  <si>
    <t>VNM.45.3_1</t>
  </si>
  <si>
    <t>Phú Hoà</t>
  </si>
  <si>
    <t>Phu Hoa</t>
  </si>
  <si>
    <t>Phú Hoà 2</t>
  </si>
  <si>
    <t>VNM.45.4_1</t>
  </si>
  <si>
    <t>Sơn Hòa</t>
  </si>
  <si>
    <t>Son Hoa</t>
  </si>
  <si>
    <t>Sơn Hoà</t>
  </si>
  <si>
    <t>VNM.45.5_1</t>
  </si>
  <si>
    <t>Sông Cầu</t>
  </si>
  <si>
    <t>Song Cau</t>
  </si>
  <si>
    <t>Xuân Thọ</t>
  </si>
  <si>
    <t>VNM.45.6_1</t>
  </si>
  <si>
    <t>Sông Hinh</t>
  </si>
  <si>
    <t>Song Hinh</t>
  </si>
  <si>
    <t>VNM.45.7_1</t>
  </si>
  <si>
    <t>Tây Hoà</t>
  </si>
  <si>
    <t>Tay Hoa</t>
  </si>
  <si>
    <t>Hoà Mỹ</t>
  </si>
  <si>
    <t>VNM.45.8_1</t>
  </si>
  <si>
    <t>Tuy An</t>
  </si>
  <si>
    <t>Ô Loan</t>
  </si>
  <si>
    <t>VNM.45.9_1</t>
  </si>
  <si>
    <t>Tuy Hoà</t>
  </si>
  <si>
    <t>Tuy Hoa</t>
  </si>
  <si>
    <t>Bình Kiến</t>
  </si>
  <si>
    <t>VNM.46.2_1</t>
  </si>
  <si>
    <t>VNM.46_1</t>
  </si>
  <si>
    <t>Quảng Bình</t>
  </si>
  <si>
    <t>Ba Đồn</t>
  </si>
  <si>
    <t>Ba Don</t>
  </si>
  <si>
    <t>Nam Gianh</t>
  </si>
  <si>
    <t>Quảng Trị</t>
  </si>
  <si>
    <t>VNM.46.1_1</t>
  </si>
  <si>
    <t>Bố Trạch</t>
  </si>
  <si>
    <t>Bo Trach</t>
  </si>
  <si>
    <t>Thượng Trạch</t>
  </si>
  <si>
    <t>VNM.46.3_1</t>
  </si>
  <si>
    <t>Lệ Thủy</t>
  </si>
  <si>
    <t>Le Thuy</t>
  </si>
  <si>
    <t>Kim Ngân</t>
  </si>
  <si>
    <t>VNM.46.4_1</t>
  </si>
  <si>
    <t>Minh Hóa</t>
  </si>
  <si>
    <t>Minh Hoa</t>
  </si>
  <si>
    <t>Kim Điền</t>
  </si>
  <si>
    <t>VNM.46.5_1</t>
  </si>
  <si>
    <t>Quảng Ninh</t>
  </si>
  <si>
    <t>Quang Ninh</t>
  </si>
  <si>
    <t>Trường Sơn</t>
  </si>
  <si>
    <t>VNM.46.6_1</t>
  </si>
  <si>
    <t>Quảng Trạch</t>
  </si>
  <si>
    <t>Quang Trach</t>
  </si>
  <si>
    <t>Hoà Trạch</t>
  </si>
  <si>
    <t>VNM.46.7_1</t>
  </si>
  <si>
    <t>Thành Phố Đồng Hới</t>
  </si>
  <si>
    <t>Dong Hoi</t>
  </si>
  <si>
    <t>Đồng Sơn</t>
  </si>
  <si>
    <t>VNM.46.8_1</t>
  </si>
  <si>
    <t>Tuyên Hóa</t>
  </si>
  <si>
    <t>Tuyen Hoa</t>
  </si>
  <si>
    <t>Đồng Lê</t>
  </si>
  <si>
    <t>VNM.47.1_1</t>
  </si>
  <si>
    <t>VNM.47_1</t>
  </si>
  <si>
    <t>Quảng Nam</t>
  </si>
  <si>
    <t>Bắc Trà My</t>
  </si>
  <si>
    <t>Bac Tra My</t>
  </si>
  <si>
    <t>Trà My</t>
  </si>
  <si>
    <t>VNM.47.2_1</t>
  </si>
  <si>
    <t>Đại Lộc</t>
  </si>
  <si>
    <t>Dai Loc</t>
  </si>
  <si>
    <t>Hà Nha</t>
  </si>
  <si>
    <t>VNM.47.3_1</t>
  </si>
  <si>
    <t>Điện Bàn</t>
  </si>
  <si>
    <t>Dien Ban</t>
  </si>
  <si>
    <t>An Thắng</t>
  </si>
  <si>
    <t>VNM.47.4_1</t>
  </si>
  <si>
    <t>Đông Giang</t>
  </si>
  <si>
    <t>Dong Giang</t>
  </si>
  <si>
    <t>Sông Kôn</t>
  </si>
  <si>
    <t>VNM.47.5_1</t>
  </si>
  <si>
    <t>Duy Xuyên</t>
  </si>
  <si>
    <t>Duy Xuyen</t>
  </si>
  <si>
    <t>VNM.47.7_1</t>
  </si>
  <si>
    <t>Hiệp Đức</t>
  </si>
  <si>
    <t>Hiep Duc</t>
  </si>
  <si>
    <t>VNM.47.6_1</t>
  </si>
  <si>
    <t>Hội An</t>
  </si>
  <si>
    <t>Hoi An</t>
  </si>
  <si>
    <t>Hội An Đông</t>
  </si>
  <si>
    <t>VNM.47.8_1</t>
  </si>
  <si>
    <t>Nam Giang</t>
  </si>
  <si>
    <t>VNM.47.9_1</t>
  </si>
  <si>
    <t>Nam Trà My</t>
  </si>
  <si>
    <t>Nam Tra My</t>
  </si>
  <si>
    <t>Trà Tập</t>
  </si>
  <si>
    <t>VNM.47.10_1</t>
  </si>
  <si>
    <t>Nông Sơn</t>
  </si>
  <si>
    <t>Nong Son</t>
  </si>
  <si>
    <t>Quế Phước</t>
  </si>
  <si>
    <t>VNM.47.11_1</t>
  </si>
  <si>
    <t>Núi Thành</t>
  </si>
  <si>
    <t>Nui Thanh</t>
  </si>
  <si>
    <t>Đức Phú</t>
  </si>
  <si>
    <t>VNM.47.12_1</t>
  </si>
  <si>
    <t>Phú Ninh</t>
  </si>
  <si>
    <t>VNM.47.13_1</t>
  </si>
  <si>
    <t>Phước Sơn</t>
  </si>
  <si>
    <t>Phuoc Son</t>
  </si>
  <si>
    <t>Phước Thành</t>
  </si>
  <si>
    <t>VNM.47.14_1</t>
  </si>
  <si>
    <t>Quế Sơn</t>
  </si>
  <si>
    <t>Que Son</t>
  </si>
  <si>
    <t>Quế Sơn Trung</t>
  </si>
  <si>
    <t>VNM.47.15_1</t>
  </si>
  <si>
    <t>Tam Kỳ</t>
  </si>
  <si>
    <t>Tam Ky</t>
  </si>
  <si>
    <t>Quảng Phú</t>
  </si>
  <si>
    <t>VNM.47.16_1</t>
  </si>
  <si>
    <t>Tây Giang</t>
  </si>
  <si>
    <t>Tay Giang</t>
  </si>
  <si>
    <t>VNM.47.17_1</t>
  </si>
  <si>
    <t>Thăng Bình</t>
  </si>
  <si>
    <t>Thang Binh</t>
  </si>
  <si>
    <t>Thăng Điền</t>
  </si>
  <si>
    <t>VNM.47.18_1</t>
  </si>
  <si>
    <t>Tiên Phước</t>
  </si>
  <si>
    <t>Tien Phuoc</t>
  </si>
  <si>
    <t>Sơn Cẩm Hà</t>
  </si>
  <si>
    <t>VNM.48.1_1</t>
  </si>
  <si>
    <t>VNM.48_1</t>
  </si>
  <si>
    <t>Ba Tơ</t>
  </si>
  <si>
    <t>Ba To</t>
  </si>
  <si>
    <t>VNM.48.2_1</t>
  </si>
  <si>
    <t>Bình Sơn</t>
  </si>
  <si>
    <t>Binh Son</t>
  </si>
  <si>
    <t>VNM.48.3_1</t>
  </si>
  <si>
    <t>Đức Phổ</t>
  </si>
  <si>
    <t>Duc Pho</t>
  </si>
  <si>
    <t>VNM.48.4_1</t>
  </si>
  <si>
    <t>Lý Sơn</t>
  </si>
  <si>
    <t>Ly Son</t>
  </si>
  <si>
    <t>VNM.48.6_1</t>
  </si>
  <si>
    <t>Minh Long</t>
  </si>
  <si>
    <t>VNM.48.5_1</t>
  </si>
  <si>
    <t>Mộ Đức</t>
  </si>
  <si>
    <t>Mo Duc</t>
  </si>
  <si>
    <t>VNM.48.7_1</t>
  </si>
  <si>
    <t>Nghĩa Hành</t>
  </si>
  <si>
    <t>Nghia Hanh</t>
  </si>
  <si>
    <t>Thiện Tín</t>
  </si>
  <si>
    <t>VNM.48.8_1</t>
  </si>
  <si>
    <t>Quang Ngai</t>
  </si>
  <si>
    <t>Tịnh Khê</t>
  </si>
  <si>
    <t>VNM.48.9_1</t>
  </si>
  <si>
    <t>Sơn Hà</t>
  </si>
  <si>
    <t>Son Ha</t>
  </si>
  <si>
    <t>Sơn Thuỷ</t>
  </si>
  <si>
    <t>VNM.48.11_1</t>
  </si>
  <si>
    <t>VNM.48.10_1</t>
  </si>
  <si>
    <t>Sơn Tịnh</t>
  </si>
  <si>
    <t>Son Tinh</t>
  </si>
  <si>
    <t>VNM.48.12_1</t>
  </si>
  <si>
    <t>Tây Trà</t>
  </si>
  <si>
    <t>Tay Tra</t>
  </si>
  <si>
    <t>VNM.48.13_1</t>
  </si>
  <si>
    <t>Trà Bồng</t>
  </si>
  <si>
    <t>Tra Bong</t>
  </si>
  <si>
    <t>VNM.48.14_1</t>
  </si>
  <si>
    <t>Tư Nghĩa</t>
  </si>
  <si>
    <t>Tu Nghia</t>
  </si>
  <si>
    <t>Nghĩa Giang</t>
  </si>
  <si>
    <t>VNM.49.1_1</t>
  </si>
  <si>
    <t>VNM.49_1</t>
  </si>
  <si>
    <t>Ba Chẽ</t>
  </si>
  <si>
    <t>Ba Che</t>
  </si>
  <si>
    <t>VNM.49.2_1</t>
  </si>
  <si>
    <t>Bình Liêu</t>
  </si>
  <si>
    <t>Binh Lieu</t>
  </si>
  <si>
    <t>Đồng Tâm</t>
  </si>
  <si>
    <t>VNM.49.3_1</t>
  </si>
  <si>
    <t>Cẩm Phả</t>
  </si>
  <si>
    <t>Cam Pha</t>
  </si>
  <si>
    <t>Khe Chuối</t>
  </si>
  <si>
    <t>VNM.49.4_1</t>
  </si>
  <si>
    <t>Cô Tô</t>
  </si>
  <si>
    <t>Co To</t>
  </si>
  <si>
    <t>VNM.49.5_1</t>
  </si>
  <si>
    <t>Đầm Hà</t>
  </si>
  <si>
    <t>Dam Ha</t>
  </si>
  <si>
    <t>Quảng An</t>
  </si>
  <si>
    <t>VNM.49.6_1</t>
  </si>
  <si>
    <t>Đông Triều</t>
  </si>
  <si>
    <t>Dong Trieu</t>
  </si>
  <si>
    <t>Bình Khê</t>
  </si>
  <si>
    <t>VNM.49.7_1</t>
  </si>
  <si>
    <t>Hạ Long</t>
  </si>
  <si>
    <t>Ha Long</t>
  </si>
  <si>
    <t>Bãi Cháy</t>
  </si>
  <si>
    <t>VNM.49.8_1</t>
  </si>
  <si>
    <t>Hải Hà</t>
  </si>
  <si>
    <t>Hai Ha</t>
  </si>
  <si>
    <t>Đường Hoa</t>
  </si>
  <si>
    <t>VNM.49.9_1</t>
  </si>
  <si>
    <t>Hoành Bồ</t>
  </si>
  <si>
    <t>Hoanh Bo</t>
  </si>
  <si>
    <t>VNM.49.10_1</t>
  </si>
  <si>
    <t>Móng Cái</t>
  </si>
  <si>
    <t>Mong Cai</t>
  </si>
  <si>
    <t>Móng Cái 3</t>
  </si>
  <si>
    <t>VNM.49.11_1</t>
  </si>
  <si>
    <t>Quảng Yên</t>
  </si>
  <si>
    <t>Quang Yen</t>
  </si>
  <si>
    <t>Hà An</t>
  </si>
  <si>
    <t>VNM.49.12_1</t>
  </si>
  <si>
    <t>Tiên Yên</t>
  </si>
  <si>
    <t>Tien Yen</t>
  </si>
  <si>
    <t>VNM.49.13_1</t>
  </si>
  <si>
    <t>Uông Bí</t>
  </si>
  <si>
    <t>Uong Bi</t>
  </si>
  <si>
    <t>VNM.49.14_1</t>
  </si>
  <si>
    <t>Vân Đồn</t>
  </si>
  <si>
    <t>Van Don</t>
  </si>
  <si>
    <t>VNM.50.2_1</t>
  </si>
  <si>
    <t>VNM.50_1</t>
  </si>
  <si>
    <t>Cam Lộ</t>
  </si>
  <si>
    <t>Cam Lo</t>
  </si>
  <si>
    <t>VNM.50.1_1</t>
  </si>
  <si>
    <t>Cồn Cỏ</t>
  </si>
  <si>
    <t>Con Co</t>
  </si>
  <si>
    <t>VNM.50.3_1</t>
  </si>
  <si>
    <t>Đa Krông</t>
  </si>
  <si>
    <t>Da Krong</t>
  </si>
  <si>
    <t>Đakrông</t>
  </si>
  <si>
    <t>VNM.50.4_1</t>
  </si>
  <si>
    <t>Đông Hà</t>
  </si>
  <si>
    <t>Dong Ha</t>
  </si>
  <si>
    <t>Nam Đông Hà</t>
  </si>
  <si>
    <t>VNM.50.5_1</t>
  </si>
  <si>
    <t>Gio Linh</t>
  </si>
  <si>
    <t>Cồn Tiên</t>
  </si>
  <si>
    <t>VNM.50.6_1</t>
  </si>
  <si>
    <t>Hải Lăng</t>
  </si>
  <si>
    <t>Hai Lang</t>
  </si>
  <si>
    <t>Diên Sanh</t>
  </si>
  <si>
    <t>VNM.50.7_1</t>
  </si>
  <si>
    <t>Hướng Hóa</t>
  </si>
  <si>
    <t>Huong Hoa</t>
  </si>
  <si>
    <t>Hướng Phùng</t>
  </si>
  <si>
    <t>VNM.50.8_1</t>
  </si>
  <si>
    <t>Quang Tri</t>
  </si>
  <si>
    <t>VNM.50.9_1</t>
  </si>
  <si>
    <t>Triệu Phong</t>
  </si>
  <si>
    <t>Trieu Phong</t>
  </si>
  <si>
    <t>Ái Tử</t>
  </si>
  <si>
    <t>VNM.50.10_1</t>
  </si>
  <si>
    <t>Vĩnh Linh</t>
  </si>
  <si>
    <t>Vinh Linh</t>
  </si>
  <si>
    <t>Vĩnh Thuỷ</t>
  </si>
  <si>
    <t>VNM.51.1_1</t>
  </si>
  <si>
    <t>VNM.51_1</t>
  </si>
  <si>
    <t>Sóc Trăng</t>
  </si>
  <si>
    <t>Thuận Hoà</t>
  </si>
  <si>
    <t>VNM.51.2_1</t>
  </si>
  <si>
    <t>Cù Lao Dung</t>
  </si>
  <si>
    <t>Cu Lao Dung</t>
  </si>
  <si>
    <t>VNM.51.3_1</t>
  </si>
  <si>
    <t>Kế Sách</t>
  </si>
  <si>
    <t>Ke Sach</t>
  </si>
  <si>
    <t>Thới An Hội</t>
  </si>
  <si>
    <t>VNM.51.4_1</t>
  </si>
  <si>
    <t>Long Phú</t>
  </si>
  <si>
    <t>Long Phu</t>
  </si>
  <si>
    <t>VNM.51.5_1</t>
  </si>
  <si>
    <t>Mỹ Tú</t>
  </si>
  <si>
    <t>My Tu</t>
  </si>
  <si>
    <t>Hữu Nghĩa</t>
  </si>
  <si>
    <t>VNM.51.6_1</t>
  </si>
  <si>
    <t>Mỹ Xuyên</t>
  </si>
  <si>
    <t>My Xuyen</t>
  </si>
  <si>
    <t>Hoà Tú</t>
  </si>
  <si>
    <t>VNM.51.7_1</t>
  </si>
  <si>
    <t>Ngã Năm</t>
  </si>
  <si>
    <t>Nga Nam</t>
  </si>
  <si>
    <t>Mỹ Quới</t>
  </si>
  <si>
    <t>VNM.51.8_1</t>
  </si>
  <si>
    <t>Soc Trang</t>
  </si>
  <si>
    <t>VNM.51.9_1</t>
  </si>
  <si>
    <t>Thạnh Trị</t>
  </si>
  <si>
    <t>Phú Lộc</t>
  </si>
  <si>
    <t>VNM.51.10_1</t>
  </si>
  <si>
    <t>Trần Đề</t>
  </si>
  <si>
    <t>Tran De</t>
  </si>
  <si>
    <t>Liêu Tú</t>
  </si>
  <si>
    <t>VNM.51.11_1</t>
  </si>
  <si>
    <t>Vĩnh Châu</t>
  </si>
  <si>
    <t>Vinh Chau</t>
  </si>
  <si>
    <t>VNM.52.1_1</t>
  </si>
  <si>
    <t>VNM.52_1</t>
  </si>
  <si>
    <t>Sơn La</t>
  </si>
  <si>
    <t>Bắc Yên</t>
  </si>
  <si>
    <t>Bac Yen</t>
  </si>
  <si>
    <t>VNM.52.3_1</t>
  </si>
  <si>
    <t>Mai Sơn</t>
  </si>
  <si>
    <t>Mai Son</t>
  </si>
  <si>
    <t>Chiềng Mai</t>
  </si>
  <si>
    <t>VNM.52.2_1</t>
  </si>
  <si>
    <t>Mộc Châu</t>
  </si>
  <si>
    <t>Moc Chau</t>
  </si>
  <si>
    <t>VNM.52.4_1</t>
  </si>
  <si>
    <t>Mường La</t>
  </si>
  <si>
    <t>Muong La</t>
  </si>
  <si>
    <t>VNM.52.5_1</t>
  </si>
  <si>
    <t>Phù Yên</t>
  </si>
  <si>
    <t>Phu Yen</t>
  </si>
  <si>
    <t>VNM.52.6_1</t>
  </si>
  <si>
    <t>Quỳnh Nhai</t>
  </si>
  <si>
    <t>Quynh Nhai</t>
  </si>
  <si>
    <t>Mường Giôn</t>
  </si>
  <si>
    <t>VNM.52.8_1</t>
  </si>
  <si>
    <t>Son La</t>
  </si>
  <si>
    <t>Tô Hiệu</t>
  </si>
  <si>
    <t>VNM.52.9_1</t>
  </si>
  <si>
    <t>Sông Mã</t>
  </si>
  <si>
    <t>Song Ma</t>
  </si>
  <si>
    <t>VNM.52.7_1</t>
  </si>
  <si>
    <t>Sốp Cộp</t>
  </si>
  <si>
    <t>Sop Cop</t>
  </si>
  <si>
    <t>VNM.52.10_1</t>
  </si>
  <si>
    <t>Thuận Châu</t>
  </si>
  <si>
    <t>Thuan Chau</t>
  </si>
  <si>
    <t>Nậm Lầu</t>
  </si>
  <si>
    <t>VNM.52.11_1</t>
  </si>
  <si>
    <t>Vân Hồ</t>
  </si>
  <si>
    <t>Van Ho</t>
  </si>
  <si>
    <t>VNM.52.12_1</t>
  </si>
  <si>
    <t>Yên Châu</t>
  </si>
  <si>
    <t>Yen Chau</t>
  </si>
  <si>
    <t>VNM.53.1_1</t>
  </si>
  <si>
    <t>VNM.53_1</t>
  </si>
  <si>
    <t>Bến Cầu</t>
  </si>
  <si>
    <t>Ben Cau</t>
  </si>
  <si>
    <t>VNM.53.2_1</t>
  </si>
  <si>
    <t>Hảo Đước</t>
  </si>
  <si>
    <t>VNM.53.3_1</t>
  </si>
  <si>
    <t>Dương Minh Châu</t>
  </si>
  <si>
    <t>Duong Minh Chau</t>
  </si>
  <si>
    <t>Cầu Khởi</t>
  </si>
  <si>
    <t>VNM.53.4_1</t>
  </si>
  <si>
    <t>Gò Dầu</t>
  </si>
  <si>
    <t>Go Dau</t>
  </si>
  <si>
    <t>Phước Thạnh</t>
  </si>
  <si>
    <t>VNM.53.5_1</t>
  </si>
  <si>
    <t>Hòa Thành</t>
  </si>
  <si>
    <t>Hoa Thanh</t>
  </si>
  <si>
    <t>Long Hoa</t>
  </si>
  <si>
    <t>VNM.53.6_1</t>
  </si>
  <si>
    <t>Tân Biên</t>
  </si>
  <si>
    <t>Tan Bien</t>
  </si>
  <si>
    <t>VNM.53.7_1</t>
  </si>
  <si>
    <t>Tân Hoà</t>
  </si>
  <si>
    <t>VNM.53.8_1</t>
  </si>
  <si>
    <t>Tay Ninh</t>
  </si>
  <si>
    <t>Bình Minh</t>
  </si>
  <si>
    <t>VNM.53.9_1</t>
  </si>
  <si>
    <t>Trảng Bàng</t>
  </si>
  <si>
    <t>Trang Bang</t>
  </si>
  <si>
    <t>VNM.55.1_1</t>
  </si>
  <si>
    <t>VNM.55_1</t>
  </si>
  <si>
    <t>Thái Bình</t>
  </si>
  <si>
    <t>Đông Hưng</t>
  </si>
  <si>
    <t>Dong Hung</t>
  </si>
  <si>
    <t>VNM.55.2_1</t>
  </si>
  <si>
    <t>Hưng Hà</t>
  </si>
  <si>
    <t>Hung Ha</t>
  </si>
  <si>
    <t>VNM.55.3_1</t>
  </si>
  <si>
    <t>Kiến Xương</t>
  </si>
  <si>
    <t>Kien Xuong</t>
  </si>
  <si>
    <t>VNM.55.4_1</t>
  </si>
  <si>
    <t>Quỳnh Phụ</t>
  </si>
  <si>
    <t>Quynh Phu</t>
  </si>
  <si>
    <t>VNM.55.5_1</t>
  </si>
  <si>
    <t>Thai Binh</t>
  </si>
  <si>
    <t>VNM.55.6_1</t>
  </si>
  <si>
    <t>Thái Thụy</t>
  </si>
  <si>
    <t>Thai Thuy</t>
  </si>
  <si>
    <t>Thái Ninh</t>
  </si>
  <si>
    <t>VNM.55.7_1</t>
  </si>
  <si>
    <t>Tiền Hải</t>
  </si>
  <si>
    <t>Tien Hai</t>
  </si>
  <si>
    <t>Ái Quốc</t>
  </si>
  <si>
    <t>VNM.55.8_1</t>
  </si>
  <si>
    <t>Vũ Thư</t>
  </si>
  <si>
    <t>Vu Thu</t>
  </si>
  <si>
    <t>VNM.56.1_1</t>
  </si>
  <si>
    <t>VNM.56_1</t>
  </si>
  <si>
    <t>Đại Từ</t>
  </si>
  <si>
    <t>Dai Tu</t>
  </si>
  <si>
    <t>VNM.56.2_1</t>
  </si>
  <si>
    <t>Định Hóa</t>
  </si>
  <si>
    <t>Dinh Hoa</t>
  </si>
  <si>
    <t>VNM.56.3_1</t>
  </si>
  <si>
    <t>Đồng Hỷ</t>
  </si>
  <si>
    <t>Dong Hy</t>
  </si>
  <si>
    <t>Văn Hán</t>
  </si>
  <si>
    <t>VNM.56.4_1</t>
  </si>
  <si>
    <t>Phổ Yên</t>
  </si>
  <si>
    <t>Pho Yen</t>
  </si>
  <si>
    <t>Phúc Thuận</t>
  </si>
  <si>
    <t>VNM.56.5_1</t>
  </si>
  <si>
    <t>Phú Bình</t>
  </si>
  <si>
    <t>Phu Binh</t>
  </si>
  <si>
    <t>VNM.56.6_1</t>
  </si>
  <si>
    <t>Phu Luong</t>
  </si>
  <si>
    <t>VNM.56.7_1</t>
  </si>
  <si>
    <t>Sông Công</t>
  </si>
  <si>
    <t>Song Cong</t>
  </si>
  <si>
    <t>Bá Xuyên</t>
  </si>
  <si>
    <t>VNM.56.8_1</t>
  </si>
  <si>
    <t>Thai Nguyen</t>
  </si>
  <si>
    <t>Phan Đình Phùng</t>
  </si>
  <si>
    <t>VNM.56.9_1</t>
  </si>
  <si>
    <t>Võ Nhai</t>
  </si>
  <si>
    <t>Vo Nhai</t>
  </si>
  <si>
    <t>Nghinh Tường</t>
  </si>
  <si>
    <t>VNM.57.2_1</t>
  </si>
  <si>
    <t>VNM.57_1</t>
  </si>
  <si>
    <t>Thanh Hóa</t>
  </si>
  <si>
    <t>Bá Thước</t>
  </si>
  <si>
    <t>Ba Thuoc</t>
  </si>
  <si>
    <t>VNM.57.1_1</t>
  </si>
  <si>
    <t>Bỉm Sơn</t>
  </si>
  <si>
    <t>Bim Son</t>
  </si>
  <si>
    <t>VNM.57.3_1</t>
  </si>
  <si>
    <t>Cẩm Thủy</t>
  </si>
  <si>
    <t>Cam Thuy</t>
  </si>
  <si>
    <t>Cẩm Thuỷ</t>
  </si>
  <si>
    <t>VNM.57.4_1</t>
  </si>
  <si>
    <t>Đông Sơn</t>
  </si>
  <si>
    <t>Dong Son</t>
  </si>
  <si>
    <t>Đông Quang</t>
  </si>
  <si>
    <t>VNM.57.6_1</t>
  </si>
  <si>
    <t>Hà Trung</t>
  </si>
  <si>
    <t>Ha Trung</t>
  </si>
  <si>
    <t>Hoạt Giang</t>
  </si>
  <si>
    <t>VNM.57.5_1</t>
  </si>
  <si>
    <t>Hậu Lộc</t>
  </si>
  <si>
    <t>Hau Loc</t>
  </si>
  <si>
    <t>VNM.57.7_1</t>
  </si>
  <si>
    <t>Hoằng Hóa</t>
  </si>
  <si>
    <t>Hoang Hoa</t>
  </si>
  <si>
    <t>Hoằng Hoá</t>
  </si>
  <si>
    <t>VNM.57.8_1</t>
  </si>
  <si>
    <t>Lang Chánh</t>
  </si>
  <si>
    <t>Lang Chanh</t>
  </si>
  <si>
    <t>Yên Thắng</t>
  </si>
  <si>
    <t>VNM.57.9_1</t>
  </si>
  <si>
    <t>Mường Lát</t>
  </si>
  <si>
    <t>Muong Lat</t>
  </si>
  <si>
    <t>Tam Chung</t>
  </si>
  <si>
    <t>VNM.57.11_1</t>
  </si>
  <si>
    <t>Nga Sơn</t>
  </si>
  <si>
    <t>Nga Son</t>
  </si>
  <si>
    <t>Hồ Vương</t>
  </si>
  <si>
    <t>VNM.57.10_1</t>
  </si>
  <si>
    <t>Ngọc Lặc</t>
  </si>
  <si>
    <t>Ngoc Lac</t>
  </si>
  <si>
    <t>VNM.57.12_1</t>
  </si>
  <si>
    <t>Như Thanh</t>
  </si>
  <si>
    <t>Nhu Thanh</t>
  </si>
  <si>
    <t>Yên Thọ</t>
  </si>
  <si>
    <t>VNM.57.13_1</t>
  </si>
  <si>
    <t>Như Xuân</t>
  </si>
  <si>
    <t>Nhu Xuan</t>
  </si>
  <si>
    <t>Hoá Quỳ</t>
  </si>
  <si>
    <t>VNM.57.14_1</t>
  </si>
  <si>
    <t>Nông Cống</t>
  </si>
  <si>
    <t>Nong Cong</t>
  </si>
  <si>
    <t>VNM.57.16_1</t>
  </si>
  <si>
    <t>Quan Hóa</t>
  </si>
  <si>
    <t>Quan Hoa</t>
  </si>
  <si>
    <t>Nam Xuân</t>
  </si>
  <si>
    <t>VNM.57.17_1</t>
  </si>
  <si>
    <t>Quan Sơn</t>
  </si>
  <si>
    <t>Quan Son</t>
  </si>
  <si>
    <t>Sơn Điện</t>
  </si>
  <si>
    <t>VNM.57.15_1</t>
  </si>
  <si>
    <t>Quảng Xương</t>
  </si>
  <si>
    <t>Quang Xuong</t>
  </si>
  <si>
    <t>VNM.57.18_1</t>
  </si>
  <si>
    <t>Sầm Sơn</t>
  </si>
  <si>
    <t>Sam Son</t>
  </si>
  <si>
    <t>VNM.57.19_1</t>
  </si>
  <si>
    <t>Thạch Thành</t>
  </si>
  <si>
    <t>Thach Thanh</t>
  </si>
  <si>
    <t>Kim Tân</t>
  </si>
  <si>
    <t>VNM.57.21_1</t>
  </si>
  <si>
    <t>Hạc Thành</t>
  </si>
  <si>
    <t>VNM.57.22_1</t>
  </si>
  <si>
    <t>Thiệu Hóa</t>
  </si>
  <si>
    <t>Thieu Hoa</t>
  </si>
  <si>
    <t>Thiệu Hoá</t>
  </si>
  <si>
    <t>VNM.57.20_1</t>
  </si>
  <si>
    <t>Thọ Xuân</t>
  </si>
  <si>
    <t>Tho Xuan</t>
  </si>
  <si>
    <t>VNM.57.23_1</t>
  </si>
  <si>
    <t>Thường Xuân</t>
  </si>
  <si>
    <t>Thuong Xuan</t>
  </si>
  <si>
    <t>VNM.57.24_1</t>
  </si>
  <si>
    <t>Tĩnh Gia</t>
  </si>
  <si>
    <t>Tinh Gia</t>
  </si>
  <si>
    <t>Đào Duy Từ</t>
  </si>
  <si>
    <t>VNM.57.25_1</t>
  </si>
  <si>
    <t>Triệu Sơn</t>
  </si>
  <si>
    <t>Trieu Son</t>
  </si>
  <si>
    <t>Hợp Tiến</t>
  </si>
  <si>
    <t>VNM.57.26_1</t>
  </si>
  <si>
    <t>Vĩnh Lộc</t>
  </si>
  <si>
    <t>Vinh Loc</t>
  </si>
  <si>
    <t>VNM.57.27_1</t>
  </si>
  <si>
    <t>Yên Định</t>
  </si>
  <si>
    <t>Yen Dinh</t>
  </si>
  <si>
    <t>Yên Trường</t>
  </si>
  <si>
    <t>VNM.54.1_1</t>
  </si>
  <si>
    <t>VNM.54_1</t>
  </si>
  <si>
    <t>Thừa Thiên Huế</t>
  </si>
  <si>
    <t>A Lưới</t>
  </si>
  <si>
    <t>A Luoi</t>
  </si>
  <si>
    <t>A Lưới 3</t>
  </si>
  <si>
    <t>VNM.54.2_1</t>
  </si>
  <si>
    <t>Huế</t>
  </si>
  <si>
    <t>Hue</t>
  </si>
  <si>
    <t>Thuận Hoá</t>
  </si>
  <si>
    <t>VNM.54.3_1</t>
  </si>
  <si>
    <t>Hương Thủy</t>
  </si>
  <si>
    <t>Huong Thuy</t>
  </si>
  <si>
    <t>Phú Bài</t>
  </si>
  <si>
    <t>VNM.54.4_1</t>
  </si>
  <si>
    <t>Hương Trà</t>
  </si>
  <si>
    <t>Huong Tra</t>
  </si>
  <si>
    <t>Bình Điền</t>
  </si>
  <si>
    <t>VNM.54.5_1</t>
  </si>
  <si>
    <t>Nam Đông</t>
  </si>
  <si>
    <t>Nam Dong</t>
  </si>
  <si>
    <t>VNM.54.6_1</t>
  </si>
  <si>
    <t>VNM.54.7_1</t>
  </si>
  <si>
    <t>Phu Loc</t>
  </si>
  <si>
    <t>VNM.54.8_1</t>
  </si>
  <si>
    <t>Phú Vang</t>
  </si>
  <si>
    <t>Phu Vang</t>
  </si>
  <si>
    <t>Phú Hồ</t>
  </si>
  <si>
    <t>VNM.54.9_1</t>
  </si>
  <si>
    <t>Quảng Điền</t>
  </si>
  <si>
    <t>Quang Dien</t>
  </si>
  <si>
    <t>VNM.58.1_1</t>
  </si>
  <si>
    <t>VNM.58_1</t>
  </si>
  <si>
    <t>Tiền Giang</t>
  </si>
  <si>
    <t>Cái Bè</t>
  </si>
  <si>
    <t>Cai Be</t>
  </si>
  <si>
    <t>Mỹ Thiện</t>
  </si>
  <si>
    <t>VNM.58.3_1</t>
  </si>
  <si>
    <t>Cai Lậy</t>
  </si>
  <si>
    <t>Cai Lay</t>
  </si>
  <si>
    <t>Thanh Hoà</t>
  </si>
  <si>
    <t>VNM.58.2_1</t>
  </si>
  <si>
    <t>Cai Lậy (Thị xã)</t>
  </si>
  <si>
    <t>Nhị Quý</t>
  </si>
  <si>
    <t>VNM.58.5_1</t>
  </si>
  <si>
    <t>Long Định</t>
  </si>
  <si>
    <t>VNM.58.4_1</t>
  </si>
  <si>
    <t>Chợ Gạo</t>
  </si>
  <si>
    <t>Cho Gao</t>
  </si>
  <si>
    <t>Tân Thuận Bình</t>
  </si>
  <si>
    <t>VNM.58.8_1</t>
  </si>
  <si>
    <t>Gò Công</t>
  </si>
  <si>
    <t>Go Cong</t>
  </si>
  <si>
    <t>Sơn Qui</t>
  </si>
  <si>
    <t>VNM.58.6_1</t>
  </si>
  <si>
    <t>Gò Công Đông</t>
  </si>
  <si>
    <t>Go Cong Dong</t>
  </si>
  <si>
    <t>Gia Thuận</t>
  </si>
  <si>
    <t>VNM.58.7_1</t>
  </si>
  <si>
    <t>Gò Công Tây</t>
  </si>
  <si>
    <t>Go Cong Tay</t>
  </si>
  <si>
    <t>VNM.58.9_1</t>
  </si>
  <si>
    <t>Mỹ Tho</t>
  </si>
  <si>
    <t>My Tho</t>
  </si>
  <si>
    <t>Đạo Thạnh</t>
  </si>
  <si>
    <t>VNM.58.10_1</t>
  </si>
  <si>
    <t>Tân Phú Đông</t>
  </si>
  <si>
    <t>Tan Phu Dong</t>
  </si>
  <si>
    <t>VNM.58.11_1</t>
  </si>
  <si>
    <t>Tan Phuoc</t>
  </si>
  <si>
    <t>Tân Phước 1</t>
  </si>
  <si>
    <t>VNM.59.3_1</t>
  </si>
  <si>
    <t>VNM.59_1</t>
  </si>
  <si>
    <t>Trà Vinh</t>
  </si>
  <si>
    <t>Càng Long</t>
  </si>
  <si>
    <t>Cang Long</t>
  </si>
  <si>
    <t>An Trường</t>
  </si>
  <si>
    <t>VNM.59.1_1</t>
  </si>
  <si>
    <t>Cầu Kè</t>
  </si>
  <si>
    <t>Cau Ke</t>
  </si>
  <si>
    <t>VNM.59.2_1</t>
  </si>
  <si>
    <t>Cầu Ngang</t>
  </si>
  <si>
    <t>Cau Ngang</t>
  </si>
  <si>
    <t>VNM.59.4_1</t>
  </si>
  <si>
    <t>Hưng Mỹ</t>
  </si>
  <si>
    <t>VNM.59.6_1</t>
  </si>
  <si>
    <t>Duyên Hải</t>
  </si>
  <si>
    <t>Duyen Hai</t>
  </si>
  <si>
    <t>VNM.59.5_1</t>
  </si>
  <si>
    <t>Duyên Hải (Thị xã)</t>
  </si>
  <si>
    <t>Trường Long Hoà</t>
  </si>
  <si>
    <t>VNM.59.7_1</t>
  </si>
  <si>
    <t>Tiểu Cần</t>
  </si>
  <si>
    <t>Tieu Can</t>
  </si>
  <si>
    <t>VNM.59.8_1</t>
  </si>
  <si>
    <t>Trà Cú</t>
  </si>
  <si>
    <t>Tra Cu</t>
  </si>
  <si>
    <t>VNM.59.9_1</t>
  </si>
  <si>
    <t>Tra Vinh</t>
  </si>
  <si>
    <t>Long Đức</t>
  </si>
  <si>
    <t>VNM.60.1_1</t>
  </si>
  <si>
    <t>VNM.60_1</t>
  </si>
  <si>
    <t>Chiêm Hóa</t>
  </si>
  <si>
    <t>Chiem Hoa</t>
  </si>
  <si>
    <t>Chiêm Hoá</t>
  </si>
  <si>
    <t>VNM.60.2_1</t>
  </si>
  <si>
    <t>Hàm Yên</t>
  </si>
  <si>
    <t>Ham Yen</t>
  </si>
  <si>
    <t>VNM.60.3_1</t>
  </si>
  <si>
    <t>Lâm Bình</t>
  </si>
  <si>
    <t>Lam Binh</t>
  </si>
  <si>
    <t>VNM.60.4_1</t>
  </si>
  <si>
    <t>Nà Hang</t>
  </si>
  <si>
    <t>Na Hang</t>
  </si>
  <si>
    <t>Yên Hoa</t>
  </si>
  <si>
    <t>VNM.60.5_1</t>
  </si>
  <si>
    <t>Sơn Dương</t>
  </si>
  <si>
    <t>Son Duong</t>
  </si>
  <si>
    <t>VNM.60.6_1</t>
  </si>
  <si>
    <t>Tuyen Quang</t>
  </si>
  <si>
    <t>An Tường</t>
  </si>
  <si>
    <t>VNM.60.7_1</t>
  </si>
  <si>
    <t>Yên Sơn</t>
  </si>
  <si>
    <t>Yen Son</t>
  </si>
  <si>
    <t>Tân Long</t>
  </si>
  <si>
    <t>VNM.61.1_1</t>
  </si>
  <si>
    <t>VNM.61_1</t>
  </si>
  <si>
    <t>Binh Minh</t>
  </si>
  <si>
    <t>VNM.61.2_1</t>
  </si>
  <si>
    <t>Tân Lược</t>
  </si>
  <si>
    <t>VNM.61.3_1</t>
  </si>
  <si>
    <t>Long Hồ</t>
  </si>
  <si>
    <t>Long Ho</t>
  </si>
  <si>
    <t>Phước Hậu</t>
  </si>
  <si>
    <t>VNM.61.4_1</t>
  </si>
  <si>
    <t>Mang Thít</t>
  </si>
  <si>
    <t>Mang Thit</t>
  </si>
  <si>
    <t>Cái Nhum</t>
  </si>
  <si>
    <t>VNM.61.5_1</t>
  </si>
  <si>
    <t>Tam Bình</t>
  </si>
  <si>
    <t>Tam Binh</t>
  </si>
  <si>
    <t>Cái Ngang</t>
  </si>
  <si>
    <t>VNM.61.6_1</t>
  </si>
  <si>
    <t>Trà Ôn</t>
  </si>
  <si>
    <t>Tra On</t>
  </si>
  <si>
    <t>Trà Côn</t>
  </si>
  <si>
    <t>VNM.61.7_1</t>
  </si>
  <si>
    <t>Vinh Long</t>
  </si>
  <si>
    <t>Long Châu</t>
  </si>
  <si>
    <t>VNM.61.8_1</t>
  </si>
  <si>
    <t>Vũng Liêm</t>
  </si>
  <si>
    <t>Vung Liem</t>
  </si>
  <si>
    <t>Trung Thành</t>
  </si>
  <si>
    <t>VNM.62.1_1</t>
  </si>
  <si>
    <t>VNM.62_1</t>
  </si>
  <si>
    <t>Vĩnh Phúc</t>
  </si>
  <si>
    <t>Bình Xuyên</t>
  </si>
  <si>
    <t>Binh Xuyen</t>
  </si>
  <si>
    <t>VNM.62.2_1</t>
  </si>
  <si>
    <t>Lập Thạch</t>
  </si>
  <si>
    <t>Lap Thach</t>
  </si>
  <si>
    <t>VNM.62.3_1</t>
  </si>
  <si>
    <t>Phúc Yên</t>
  </si>
  <si>
    <t>Phuc Yen</t>
  </si>
  <si>
    <t>VNM.62.4_1</t>
  </si>
  <si>
    <t>Sông Lô</t>
  </si>
  <si>
    <t>Song Lo</t>
  </si>
  <si>
    <t>Hải Lựu</t>
  </si>
  <si>
    <t>VNM.62.5_1</t>
  </si>
  <si>
    <t>Tam Đảo</t>
  </si>
  <si>
    <t>Tam Dao</t>
  </si>
  <si>
    <t>Đại Đình</t>
  </si>
  <si>
    <t>VNM.62.6_1</t>
  </si>
  <si>
    <t>Tam Dương</t>
  </si>
  <si>
    <t>VNM.62.7_1</t>
  </si>
  <si>
    <t>Vinh Tuong</t>
  </si>
  <si>
    <t>Thổ Tang</t>
  </si>
  <si>
    <t>VNM.62.8_1</t>
  </si>
  <si>
    <t>Vĩnh Yên</t>
  </si>
  <si>
    <t>Vinh Yen</t>
  </si>
  <si>
    <t>VNM.62.9_1</t>
  </si>
  <si>
    <t>Yên Lạc</t>
  </si>
  <si>
    <t>Yen Lac</t>
  </si>
  <si>
    <t>Tam Hồng</t>
  </si>
  <si>
    <t>VNM.63.1_1</t>
  </si>
  <si>
    <t>VNM.63_1</t>
  </si>
  <si>
    <t>Yên Bái</t>
  </si>
  <si>
    <t>Lục Yên</t>
  </si>
  <si>
    <t>Luc Yen</t>
  </si>
  <si>
    <t>Tân Lĩnh</t>
  </si>
  <si>
    <t>VNM.63.2_1</t>
  </si>
  <si>
    <t>Mù Căng Chải</t>
  </si>
  <si>
    <t>Mu Cang Chai</t>
  </si>
  <si>
    <t>Púng Luông</t>
  </si>
  <si>
    <t>VNM.63.3_1</t>
  </si>
  <si>
    <t>Nghĩa Lộ</t>
  </si>
  <si>
    <t>Nghia Lo</t>
  </si>
  <si>
    <t>VNM.63.4_1</t>
  </si>
  <si>
    <t>Trạm Tấu</t>
  </si>
  <si>
    <t>Tram Tau</t>
  </si>
  <si>
    <t>VNM.63.5_1</t>
  </si>
  <si>
    <t>Trấn Yên</t>
  </si>
  <si>
    <t>Tran Yen</t>
  </si>
  <si>
    <t>Lương Thịnh</t>
  </si>
  <si>
    <t>VNM.63.6_1</t>
  </si>
  <si>
    <t>Văn Chấn</t>
  </si>
  <si>
    <t>Van Chan</t>
  </si>
  <si>
    <t>VNM.63.7_1</t>
  </si>
  <si>
    <t>Văn Yên</t>
  </si>
  <si>
    <t>Van Yen</t>
  </si>
  <si>
    <t>Phong Dụ Hạ</t>
  </si>
  <si>
    <t>VNM.63.8_1</t>
  </si>
  <si>
    <t>Yen Bai</t>
  </si>
  <si>
    <t>VNM.63.9_1</t>
  </si>
  <si>
    <t>Yên Bình</t>
  </si>
  <si>
    <t>Yen Binh</t>
  </si>
  <si>
    <t>Column1</t>
  </si>
  <si>
    <t>Column2</t>
  </si>
  <si>
    <t>Column3</t>
  </si>
  <si>
    <t>district</t>
  </si>
  <si>
    <t>province</t>
  </si>
  <si>
    <t>Khánh An</t>
  </si>
  <si>
    <t>Tân Lộc</t>
  </si>
  <si>
    <t>Láng Tròn</t>
  </si>
  <si>
    <t>Hiệp Thành</t>
  </si>
  <si>
    <t>Nguyễn Phích</t>
  </si>
  <si>
    <t xml:space="preserve">Vĩnh Phong </t>
  </si>
  <si>
    <t>Ninh Qưới</t>
  </si>
  <si>
    <t>Lâm Tân</t>
  </si>
  <si>
    <t>Thạnh Thới An</t>
  </si>
  <si>
    <t>Định Hòa</t>
  </si>
  <si>
    <t>Vĩnh Thuận Đông</t>
  </si>
  <si>
    <t>Hiệp Hưng</t>
  </si>
  <si>
    <t>Nhơn Mỹ</t>
  </si>
  <si>
    <t>Tập Sơn</t>
  </si>
  <si>
    <t>Hiệp Mỹ</t>
  </si>
  <si>
    <t>Trường Xuân</t>
  </si>
  <si>
    <t>Nhị Long</t>
  </si>
  <si>
    <t>Trung Nhứt</t>
  </si>
  <si>
    <t>Tân Phú Trung</t>
  </si>
  <si>
    <t>Thanh Đức</t>
  </si>
  <si>
    <t>Vĩnh Thành</t>
  </si>
  <si>
    <t>Châu Hưng</t>
  </si>
  <si>
    <t>Núi Cấm</t>
  </si>
  <si>
    <t xml:space="preserve">Bình Mỹ </t>
  </si>
  <si>
    <t>Mỹ Thọ</t>
  </si>
  <si>
    <t>Hậu Mỹ</t>
  </si>
  <si>
    <t>An Thới Đông</t>
  </si>
  <si>
    <t xml:space="preserve">Xuyên Mộc </t>
  </si>
  <si>
    <t>Bình Lợi</t>
  </si>
  <si>
    <t>Hòa Hiệp</t>
  </si>
  <si>
    <t>Phước Chỉ</t>
  </si>
  <si>
    <t>Tân An Hội</t>
  </si>
  <si>
    <t>Tân Khánh</t>
  </si>
  <si>
    <t>Xuân Thành</t>
  </si>
  <si>
    <t>Hàm Thạnh</t>
  </si>
  <si>
    <t>Phường Mũi Né</t>
  </si>
  <si>
    <t>Ninh Điền</t>
  </si>
  <si>
    <t>Truông Mít</t>
  </si>
  <si>
    <t>Long Hòa</t>
  </si>
  <si>
    <t>Phước Hòa</t>
  </si>
  <si>
    <t>Phú Lâm</t>
  </si>
  <si>
    <t>Bắc Ruộng</t>
  </si>
  <si>
    <t>Sông Lũy</t>
  </si>
  <si>
    <t>Hải Ninh</t>
  </si>
  <si>
    <t>Thạnh Bình</t>
  </si>
  <si>
    <t>Tân Khai</t>
  </si>
  <si>
    <t>Nha Bích</t>
  </si>
  <si>
    <t>Đăk Lua</t>
  </si>
  <si>
    <t>Đạ Tẻh 2</t>
  </si>
  <si>
    <t>Gia Hiệp</t>
  </si>
  <si>
    <t>Phan Sơn</t>
  </si>
  <si>
    <t>Phước Hà</t>
  </si>
  <si>
    <t>Phước Dinh</t>
  </si>
  <si>
    <t>Lộc Thành</t>
  </si>
  <si>
    <t>Phú Trung</t>
  </si>
  <si>
    <t>Đinh Trang Thượng</t>
  </si>
  <si>
    <t>Đinh Văn Lâm Hà</t>
  </si>
  <si>
    <t>Đăk Nhau</t>
  </si>
  <si>
    <t>Kiến Đức</t>
  </si>
  <si>
    <t>Đông Gia Nghĩa</t>
  </si>
  <si>
    <t>Phú Sơn Lâm Hà</t>
  </si>
  <si>
    <t>Bác Ái Tây</t>
  </si>
  <si>
    <t>Đông Khánh Sơn</t>
  </si>
  <si>
    <t>Thuận Hạnh</t>
  </si>
  <si>
    <t>Đăk Song</t>
  </si>
  <si>
    <t>Đam Rông 4</t>
  </si>
  <si>
    <t>Diên Thọ</t>
  </si>
  <si>
    <t>Ea Na</t>
  </si>
  <si>
    <t>Hòa Sơn</t>
  </si>
  <si>
    <t>Cư Pui</t>
  </si>
  <si>
    <t>Krông Á</t>
  </si>
  <si>
    <t>Tân Định</t>
  </si>
  <si>
    <t>Đông Ninh Hòa</t>
  </si>
  <si>
    <t>Ea Nuôl</t>
  </si>
  <si>
    <t>Ea Knuếc</t>
  </si>
  <si>
    <t>Ea Kiết</t>
  </si>
  <si>
    <t>Ea Ly</t>
  </si>
  <si>
    <t>Đức Bình</t>
  </si>
  <si>
    <t>Tây Hòa</t>
  </si>
  <si>
    <t>Ia Rvê</t>
  </si>
  <si>
    <t>Uar</t>
  </si>
  <si>
    <t>Ia Mơ</t>
  </si>
  <si>
    <t>Chư A Thai</t>
  </si>
  <si>
    <t>Xuân Lãnh</t>
  </si>
  <si>
    <t>Ia Tôr</t>
  </si>
  <si>
    <t>Kon Chiêng</t>
  </si>
  <si>
    <t>Canh Vinh</t>
  </si>
  <si>
    <t>Quy Nhơn</t>
  </si>
  <si>
    <t>Đăk Pơ</t>
  </si>
  <si>
    <t>Cửu An</t>
  </si>
  <si>
    <t>Bình Hiệp</t>
  </si>
  <si>
    <t>Cát Tiến</t>
  </si>
  <si>
    <t>Ia Đal</t>
  </si>
  <si>
    <t>Ya Ly</t>
  </si>
  <si>
    <t>Đăk Rơ Wa</t>
  </si>
  <si>
    <t>Đăk Sơmei</t>
  </si>
  <si>
    <t>Rờ Kơi</t>
  </si>
  <si>
    <t>Ngọk Réo</t>
  </si>
  <si>
    <t>Đăk Rve</t>
  </si>
  <si>
    <t>Đăk Rong</t>
  </si>
  <si>
    <t>An Toàn</t>
  </si>
  <si>
    <t>Hoài Nhơn Tây</t>
  </si>
  <si>
    <t>Ngọk Tụ</t>
  </si>
  <si>
    <t>Đăk Pxi</t>
  </si>
  <si>
    <t>Măng Đen</t>
  </si>
  <si>
    <t>Khánh Cường</t>
  </si>
  <si>
    <t>Đăk Long</t>
  </si>
  <si>
    <t>Măng Ri</t>
  </si>
  <si>
    <t>Măng Bút</t>
  </si>
  <si>
    <t>Sơn Thủy</t>
  </si>
  <si>
    <t>Sơn Mai</t>
  </si>
  <si>
    <t>Phước Năng</t>
  </si>
  <si>
    <t>Trà Leng</t>
  </si>
  <si>
    <t>Trà Giáp</t>
  </si>
  <si>
    <t xml:space="preserve">Thọ Phong </t>
  </si>
  <si>
    <t>Đắc Pring</t>
  </si>
  <si>
    <t>Khâm Đức</t>
  </si>
  <si>
    <t>Phước Hiệp</t>
  </si>
  <si>
    <t>Hùng Sơn</t>
  </si>
  <si>
    <t>Thạnh Mỹ</t>
  </si>
  <si>
    <t>Phú Thuận</t>
  </si>
  <si>
    <t>Avương</t>
  </si>
  <si>
    <t>A Lưới 5</t>
  </si>
  <si>
    <t>Lộc An</t>
  </si>
  <si>
    <t>Chân Mây - Lăng Cô</t>
  </si>
  <si>
    <t>A Dơi</t>
  </si>
  <si>
    <t>Tà Rụt</t>
  </si>
  <si>
    <t>Kim Trà</t>
  </si>
  <si>
    <t xml:space="preserve">Cam Lộ </t>
  </si>
  <si>
    <t>Vĩnh Định</t>
  </si>
  <si>
    <t>Vĩnh Thủy</t>
  </si>
  <si>
    <t>Nam Trạch</t>
  </si>
  <si>
    <t>Dân Hoá</t>
  </si>
  <si>
    <t>Kim Phú</t>
  </si>
  <si>
    <t>Tuyên Lâm</t>
  </si>
  <si>
    <t>Kỳ Lạc</t>
  </si>
  <si>
    <t>Hương Bình</t>
  </si>
  <si>
    <t>Hương Phố</t>
  </si>
  <si>
    <t>Kim Hoa</t>
  </si>
  <si>
    <t xml:space="preserve">Hạnh Lâm </t>
  </si>
  <si>
    <t>Đan Hải</t>
  </si>
  <si>
    <t>Châu Khê</t>
  </si>
  <si>
    <t>Nhân Hòa</t>
  </si>
  <si>
    <t>Bạch Ngọc</t>
  </si>
  <si>
    <t>Mường Típ</t>
  </si>
  <si>
    <t>Na Ngoi</t>
  </si>
  <si>
    <t>Yên Hòa</t>
  </si>
  <si>
    <t>Mường Chọng</t>
  </si>
  <si>
    <t>Minh Hợp</t>
  </si>
  <si>
    <t>Nghĩa Lộc</t>
  </si>
  <si>
    <t>Tân Mai</t>
  </si>
  <si>
    <t>Huồi Tụ</t>
  </si>
  <si>
    <t>Nhôn Mai</t>
  </si>
  <si>
    <t>Mường Quàng</t>
  </si>
  <si>
    <t>Hùng Chân</t>
  </si>
  <si>
    <t>Châu Bình</t>
  </si>
  <si>
    <t>Xuân Thái</t>
  </si>
  <si>
    <t>Hải Lĩnh</t>
  </si>
  <si>
    <t>Thông Thụ</t>
  </si>
  <si>
    <t>Xuân Chinh</t>
  </si>
  <si>
    <t>Xuân Du</t>
  </si>
  <si>
    <t>Bát Mọt</t>
  </si>
  <si>
    <t>Xuân Tín</t>
  </si>
  <si>
    <t>Tống Sơn</t>
  </si>
  <si>
    <t>Mường Mìn</t>
  </si>
  <si>
    <t>Điền Quang</t>
  </si>
  <si>
    <t>Cẩm Tú</t>
  </si>
  <si>
    <t>Phú Long</t>
  </si>
  <si>
    <t>Giao Hòa</t>
  </si>
  <si>
    <t>Trung Lý</t>
  </si>
  <si>
    <t>Phú Xuân</t>
  </si>
  <si>
    <t>Vân Sơn</t>
  </si>
  <si>
    <t>Bình Mỹ</t>
  </si>
  <si>
    <t>Thư Trì</t>
  </si>
  <si>
    <t>Nam Thái Ninh</t>
  </si>
  <si>
    <t>Lóng Sập</t>
  </si>
  <si>
    <t>Chiềng Sơn</t>
  </si>
  <si>
    <t>Thung Nai</t>
  </si>
  <si>
    <t>Nật Sơn</t>
  </si>
  <si>
    <t>Đức Hợp</t>
  </si>
  <si>
    <t>Nam Đồ Sơn</t>
  </si>
  <si>
    <t>Mường Nhà</t>
  </si>
  <si>
    <t>Pùng Bánh</t>
  </si>
  <si>
    <t>Huổi Một</t>
  </si>
  <si>
    <t>Chiềng Khương</t>
  </si>
  <si>
    <t>Phiêng Khoài</t>
  </si>
  <si>
    <t>Chiềng Hặc</t>
  </si>
  <si>
    <t>Tân Pheo</t>
  </si>
  <si>
    <t>Hương Cần</t>
  </si>
  <si>
    <t>Hòa Lạc</t>
  </si>
  <si>
    <t>Tây Mỗ</t>
  </si>
  <si>
    <t>Trần Liễu</t>
  </si>
  <si>
    <t>Việt Hưng</t>
  </si>
  <si>
    <t>Quang Hanh</t>
  </si>
  <si>
    <t>Sam Mứn</t>
  </si>
  <si>
    <t>Bó Sinh</t>
  </si>
  <si>
    <t>Muổi Nọi</t>
  </si>
  <si>
    <t>Chiềng Mung</t>
  </si>
  <si>
    <t>Tà Hộc</t>
  </si>
  <si>
    <t>Mường Bang</t>
  </si>
  <si>
    <t>Thọ Văn</t>
  </si>
  <si>
    <t>Kim Anh</t>
  </si>
  <si>
    <t>Yên Trung</t>
  </si>
  <si>
    <t>Tân Tiến</t>
  </si>
  <si>
    <t>Tuấn Đạo</t>
  </si>
  <si>
    <t>Lương Minh</t>
  </si>
  <si>
    <t>Mường Pồn</t>
  </si>
  <si>
    <t>Mường É</t>
  </si>
  <si>
    <t>Chiềng La</t>
  </si>
  <si>
    <t>Chiềng Hoa</t>
  </si>
  <si>
    <t xml:space="preserve">Phình Hồ </t>
  </si>
  <si>
    <t>Chấn Thịnh</t>
  </si>
  <si>
    <t>Văn Lang</t>
  </si>
  <si>
    <t>Trạm Thản</t>
  </si>
  <si>
    <t>Đạo Trù</t>
  </si>
  <si>
    <t>Vân Nham</t>
  </si>
  <si>
    <t>Điền Xá</t>
  </si>
  <si>
    <t>Quảng Đức</t>
  </si>
  <si>
    <t>Móng Cái 1</t>
  </si>
  <si>
    <t>Nà Bủng</t>
  </si>
  <si>
    <t>Mường Mùn</t>
  </si>
  <si>
    <t>Pú Nhung</t>
  </si>
  <si>
    <t>Chế Tạo</t>
  </si>
  <si>
    <t>Tú Lệ</t>
  </si>
  <si>
    <t>Sơn Lương</t>
  </si>
  <si>
    <t>Quy Mông</t>
  </si>
  <si>
    <t>Thác Bà</t>
  </si>
  <si>
    <t>Minh Thanh</t>
  </si>
  <si>
    <t>Nhất Hòa</t>
  </si>
  <si>
    <t>Bằng Mặc</t>
  </si>
  <si>
    <t>Chiến Thắng</t>
  </si>
  <si>
    <t>Khuất Xá</t>
  </si>
  <si>
    <t>Nậm Kè</t>
  </si>
  <si>
    <t>Chà Tở</t>
  </si>
  <si>
    <t>Nậm Cuổi</t>
  </si>
  <si>
    <t>Nậm Sỏ</t>
  </si>
  <si>
    <t>Nậm Xé</t>
  </si>
  <si>
    <t>Khánh Yên</t>
  </si>
  <si>
    <t>Châu Quế</t>
  </si>
  <si>
    <t>Phúc Lợi</t>
  </si>
  <si>
    <t>Lục Hành</t>
  </si>
  <si>
    <t>Hùng Lợi</t>
  </si>
  <si>
    <t>Phượng Tiến</t>
  </si>
  <si>
    <t>Xuân Dương</t>
  </si>
  <si>
    <t>Hội Hoan</t>
  </si>
  <si>
    <t xml:space="preserve">Đồng Đăng </t>
  </si>
  <si>
    <t>Sín Thầu</t>
  </si>
  <si>
    <t>Bum Tở</t>
  </si>
  <si>
    <t>Pu Sam Cáp</t>
  </si>
  <si>
    <t>Mường Khoa</t>
  </si>
  <si>
    <t>Mường Bo</t>
  </si>
  <si>
    <t>Bảo Hà</t>
  </si>
  <si>
    <t>Trung Hà</t>
  </si>
  <si>
    <t>Yên Thịnh</t>
  </si>
  <si>
    <t>Phong Quang</t>
  </si>
  <si>
    <t>Mù Cả</t>
  </si>
  <si>
    <t>Hồng Thu</t>
  </si>
  <si>
    <t>Sin Suối Hồ</t>
  </si>
  <si>
    <t>Bản Xèo</t>
  </si>
  <si>
    <t>Khuôn Lùng</t>
  </si>
  <si>
    <t>Thông Nguyên</t>
  </si>
  <si>
    <t>Nghiên Loan</t>
  </si>
  <si>
    <t>Bằng Vân</t>
  </si>
  <si>
    <t>Phục Hòa</t>
  </si>
  <si>
    <t>Thu Lũm</t>
  </si>
  <si>
    <t>Pha Long</t>
  </si>
  <si>
    <t>Yên Thổ</t>
  </si>
  <si>
    <t>Huy Giáp</t>
  </si>
  <si>
    <t>Nguyễn Huệ</t>
  </si>
  <si>
    <t>Đoài Dương</t>
  </si>
  <si>
    <t>Lý Quốc</t>
  </si>
  <si>
    <t>Đường Thượng</t>
  </si>
  <si>
    <t>Lý Bôn</t>
  </si>
  <si>
    <t>Cô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</si>
</sst>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CB60DE-3B3F-438A-B895-9ECBEDD638A9}" name="Table2" displayName="Table2" ref="A1:Q711" totalsRowShown="0" dataDxfId="17">
  <autoFilter ref="A1:Q711" xr:uid="{03CB60DE-3B3F-438A-B895-9ECBEDD638A9}"/>
  <sortState xmlns:xlrd2="http://schemas.microsoft.com/office/spreadsheetml/2017/richdata2" ref="A2:Q711">
    <sortCondition ref="K2:K711"/>
    <sortCondition ref="L2:L711"/>
  </sortState>
  <tableColumns count="17">
    <tableColumn id="1" xr3:uid="{FA975C8A-2982-4ADF-A751-EF693375FDFE}" name="fid" dataDxfId="16"/>
    <tableColumn id="2" xr3:uid="{068FC89A-7EDC-4BF6-88EC-92BFD34C00BE}" name="GID_2" dataDxfId="15"/>
    <tableColumn id="3" xr3:uid="{3221818B-B59D-493E-A6E5-DC6A1BBC4E9E}" name="GID_0" dataDxfId="14"/>
    <tableColumn id="4" xr3:uid="{B30F81C2-8E6F-43FA-8FFE-320491EFB936}" name="COUNTRY" dataDxfId="13"/>
    <tableColumn id="5" xr3:uid="{FE4B2137-761E-464F-8FAE-AC0C787B682E}" name="GID_1" dataDxfId="12"/>
    <tableColumn id="6" xr3:uid="{CDCFA075-6BE0-44BA-A7BD-62926C7E2FD5}" name="NAME_1" dataDxfId="11"/>
    <tableColumn id="7" xr3:uid="{829D3B32-14C1-4F0D-B226-CE24540FF868}" name="NAME_2" dataDxfId="10"/>
    <tableColumn id="8" xr3:uid="{F5D69813-2F02-41B6-AAA0-21DDF3A865B7}" name="VARNAME_2" dataDxfId="9"/>
    <tableColumn id="9" xr3:uid="{E1B96908-5B74-4F6D-977F-3BA9A641FF0B}" name="TYPE_2" dataDxfId="8"/>
    <tableColumn id="10" xr3:uid="{48245F27-1BFC-42BD-958B-029A34D63BBA}" name="ENGTYPE_2" dataDxfId="2"/>
    <tableColumn id="11" xr3:uid="{2C3E36E3-6357-4123-BD15-246FA25F8006}" name="latitude" dataDxfId="0"/>
    <tableColumn id="12" xr3:uid="{300230D1-1206-43B1-A4AC-B09B2F6AEC91}" name="longitude" dataDxfId="1"/>
    <tableColumn id="13" xr3:uid="{D805CE74-9227-4FD5-9293-D07F24CADD0C}" name="NewName" dataDxfId="3"/>
    <tableColumn id="14" xr3:uid="{0E16BC9F-5B98-4B5E-A4E4-10BDA1C5D6BC}" name="Province" dataDxfId="7"/>
    <tableColumn id="15" xr3:uid="{513741A8-3D94-48C0-962D-B8FF57D74B5D}" name="Column1" dataDxfId="6">
      <calculatedColumnFormula>INT(K2)&amp;"°"&amp;INT(MOD(K2,1)*60)&amp;"'"&amp;
ROUND(MOD(MOD(K2,1)*60,1)*60,1)&amp;"""N"</calculatedColumnFormula>
    </tableColumn>
    <tableColumn id="16" xr3:uid="{54C5AA78-53BA-4D6E-B1E6-D9C6D9C7C3D0}" name="Column2" dataDxfId="5">
      <calculatedColumnFormula>INT(L2)&amp;"°"&amp;INT(MOD(L2,1)*60)&amp;"'"&amp;
ROUND(MOD(MOD(L2,1)*60,1)*60,1)&amp;"""E"</calculatedColumnFormula>
    </tableColumn>
    <tableColumn id="17" xr3:uid="{2B800A32-B4A1-4F5B-B787-3E97836144F9}" name="Column3" dataDxfId="4">
      <calculatedColumnFormula>O2 &amp; " " &amp; 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F1" workbookViewId="0">
      <selection activeCell="G6" sqref="G6"/>
    </sheetView>
  </sheetViews>
  <sheetFormatPr defaultColWidth="14.42578125" defaultRowHeight="15" customHeight="1" x14ac:dyDescent="0.2"/>
  <cols>
    <col min="1" max="11" width="15" customWidth="1"/>
    <col min="12" max="12" width="15" style="3" customWidth="1"/>
    <col min="13" max="14" width="17.5703125" customWidth="1"/>
    <col min="17" max="17" width="27.5703125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t="s">
        <v>2561</v>
      </c>
      <c r="P1" t="s">
        <v>2562</v>
      </c>
      <c r="Q1" t="s">
        <v>2563</v>
      </c>
    </row>
    <row r="2" spans="1:17" ht="12.75" x14ac:dyDescent="0.2">
      <c r="A2" s="1">
        <v>106</v>
      </c>
      <c r="B2" s="1" t="s">
        <v>413</v>
      </c>
      <c r="C2" s="1" t="s">
        <v>15</v>
      </c>
      <c r="D2" s="1" t="s">
        <v>16</v>
      </c>
      <c r="E2" s="1" t="s">
        <v>400</v>
      </c>
      <c r="F2" s="1" t="s">
        <v>169</v>
      </c>
      <c r="G2" s="1" t="s">
        <v>414</v>
      </c>
      <c r="H2" s="1" t="s">
        <v>415</v>
      </c>
      <c r="I2" s="1" t="s">
        <v>21</v>
      </c>
      <c r="J2" s="1" t="s">
        <v>22</v>
      </c>
      <c r="K2" s="2">
        <v>8.6680859699999999</v>
      </c>
      <c r="L2" s="2">
        <v>104.96086553000001</v>
      </c>
      <c r="M2" s="1" t="s">
        <v>416</v>
      </c>
      <c r="N2" s="1" t="s">
        <v>169</v>
      </c>
      <c r="O2" s="1" t="str">
        <f>INT(K2)&amp;"°"&amp;INT(MOD(K2,1)*60)&amp;"'"&amp;
ROUND(MOD(MOD(K2,1)*60,1)*60,1)&amp;"""N"</f>
        <v>8°40'5.1"N</v>
      </c>
      <c r="P2" s="1" t="str">
        <f>INT(L2)&amp;"°"&amp;INT(MOD(L2,1)*60)&amp;"'"&amp;
ROUND(MOD(MOD(L2,1)*60,1)*60,1)&amp;"""E"</f>
        <v>104°57'39.1"E</v>
      </c>
      <c r="Q2" s="1" t="str">
        <f>O2 &amp; " " &amp; P2</f>
        <v>8°40'5.1"N 104°57'39.1"E</v>
      </c>
    </row>
    <row r="3" spans="1:17" ht="12.75" x14ac:dyDescent="0.2">
      <c r="A3" s="1">
        <v>105</v>
      </c>
      <c r="B3" s="1" t="s">
        <v>410</v>
      </c>
      <c r="C3" s="1" t="s">
        <v>15</v>
      </c>
      <c r="D3" s="1" t="s">
        <v>16</v>
      </c>
      <c r="E3" s="1" t="s">
        <v>400</v>
      </c>
      <c r="F3" s="1" t="s">
        <v>169</v>
      </c>
      <c r="G3" s="1" t="s">
        <v>411</v>
      </c>
      <c r="H3" s="1" t="s">
        <v>412</v>
      </c>
      <c r="I3" s="1" t="s">
        <v>21</v>
      </c>
      <c r="J3" s="1" t="s">
        <v>22</v>
      </c>
      <c r="K3" s="2">
        <v>8.7889532300000006</v>
      </c>
      <c r="L3" s="2">
        <v>105.05521385999999</v>
      </c>
      <c r="M3" s="1" t="s">
        <v>411</v>
      </c>
      <c r="N3" s="1" t="s">
        <v>169</v>
      </c>
      <c r="O3" s="1" t="str">
        <f>INT(K3)&amp;"°"&amp;INT(MOD(K3,1)*60)&amp;"'"&amp;
ROUND(MOD(MOD(K3,1)*60,1)*60,1)&amp;"""N"</f>
        <v>8°47'20.2"N</v>
      </c>
      <c r="P3" s="1" t="str">
        <f>INT(L3)&amp;"°"&amp;INT(MOD(L3,1)*60)&amp;"'"&amp;
ROUND(MOD(MOD(L3,1)*60,1)*60,1)&amp;"""E"</f>
        <v>105°3'18.8"E</v>
      </c>
      <c r="Q3" s="1" t="str">
        <f>O3 &amp; " " &amp; P3</f>
        <v>8°47'20.2"N 105°3'18.8"E</v>
      </c>
    </row>
    <row r="4" spans="1:17" ht="12.75" x14ac:dyDescent="0.2">
      <c r="A4" s="1">
        <v>107</v>
      </c>
      <c r="B4" s="1" t="s">
        <v>417</v>
      </c>
      <c r="C4" s="1" t="s">
        <v>15</v>
      </c>
      <c r="D4" s="1" t="s">
        <v>16</v>
      </c>
      <c r="E4" s="1" t="s">
        <v>400</v>
      </c>
      <c r="F4" s="1" t="s">
        <v>169</v>
      </c>
      <c r="G4" s="1" t="s">
        <v>47</v>
      </c>
      <c r="H4" s="1" t="s">
        <v>48</v>
      </c>
      <c r="I4" s="1" t="s">
        <v>21</v>
      </c>
      <c r="J4" s="1" t="s">
        <v>22</v>
      </c>
      <c r="K4" s="2">
        <v>8.8915717300000008</v>
      </c>
      <c r="L4" s="2">
        <v>104.88335382</v>
      </c>
      <c r="M4" s="1" t="s">
        <v>418</v>
      </c>
      <c r="N4" s="1" t="s">
        <v>169</v>
      </c>
      <c r="O4" s="1" t="str">
        <f>INT(K4)&amp;"°"&amp;INT(MOD(K4,1)*60)&amp;"'"&amp;
ROUND(MOD(MOD(K4,1)*60,1)*60,1)&amp;"""N"</f>
        <v>8°53'29.7"N</v>
      </c>
      <c r="P4" s="1" t="str">
        <f>INT(L4)&amp;"°"&amp;INT(MOD(L4,1)*60)&amp;"'"&amp;
ROUND(MOD(MOD(L4,1)*60,1)*60,1)&amp;"""E"</f>
        <v>104°53'0.1"E</v>
      </c>
      <c r="Q4" s="1" t="str">
        <f>O4 &amp; " " &amp; P4</f>
        <v>8°53'29.7"N 104°53'0.1"E</v>
      </c>
    </row>
    <row r="5" spans="1:17" ht="12.75" x14ac:dyDescent="0.2">
      <c r="A5" s="1">
        <v>104</v>
      </c>
      <c r="B5" s="1" t="s">
        <v>407</v>
      </c>
      <c r="C5" s="1" t="s">
        <v>15</v>
      </c>
      <c r="D5" s="1" t="s">
        <v>16</v>
      </c>
      <c r="E5" s="1" t="s">
        <v>400</v>
      </c>
      <c r="F5" s="1" t="s">
        <v>169</v>
      </c>
      <c r="G5" s="1" t="s">
        <v>408</v>
      </c>
      <c r="H5" s="1" t="s">
        <v>409</v>
      </c>
      <c r="I5" s="1" t="s">
        <v>21</v>
      </c>
      <c r="J5" s="1" t="s">
        <v>22</v>
      </c>
      <c r="K5" s="2">
        <v>8.9602770399999994</v>
      </c>
      <c r="L5" s="2">
        <v>105.24231913</v>
      </c>
      <c r="M5" s="1" t="s">
        <v>408</v>
      </c>
      <c r="N5" s="1" t="s">
        <v>169</v>
      </c>
      <c r="O5" s="1" t="str">
        <f>INT(K5)&amp;"°"&amp;INT(MOD(K5,1)*60)&amp;"'"&amp;
ROUND(MOD(MOD(K5,1)*60,1)*60,1)&amp;"""N"</f>
        <v>8°57'37"N</v>
      </c>
      <c r="P5" s="1" t="str">
        <f>INT(L5)&amp;"°"&amp;INT(MOD(L5,1)*60)&amp;"'"&amp;
ROUND(MOD(MOD(L5,1)*60,1)*60,1)&amp;"""E"</f>
        <v>105°14'32.3"E</v>
      </c>
      <c r="Q5" s="1" t="str">
        <f>O5 &amp; " " &amp; P5</f>
        <v>8°57'37"N 105°14'32.3"E</v>
      </c>
    </row>
    <row r="6" spans="1:17" ht="12.75" x14ac:dyDescent="0.2">
      <c r="A6" s="1">
        <v>103</v>
      </c>
      <c r="B6" s="1" t="s">
        <v>403</v>
      </c>
      <c r="C6" s="1" t="s">
        <v>15</v>
      </c>
      <c r="D6" s="1" t="s">
        <v>16</v>
      </c>
      <c r="E6" s="1" t="s">
        <v>400</v>
      </c>
      <c r="F6" s="1" t="s">
        <v>169</v>
      </c>
      <c r="G6" s="1" t="s">
        <v>404</v>
      </c>
      <c r="H6" s="1" t="s">
        <v>405</v>
      </c>
      <c r="I6" s="1" t="s">
        <v>21</v>
      </c>
      <c r="J6" s="1" t="s">
        <v>22</v>
      </c>
      <c r="K6" s="2">
        <v>9.0050806199999993</v>
      </c>
      <c r="L6" s="2">
        <v>105.05307221</v>
      </c>
      <c r="M6" s="1" t="s">
        <v>406</v>
      </c>
      <c r="N6" s="1" t="s">
        <v>169</v>
      </c>
      <c r="O6" s="1" t="str">
        <f>INT(K6)&amp;"°"&amp;INT(MOD(K6,1)*60)&amp;"'"&amp;
ROUND(MOD(MOD(K6,1)*60,1)*60,1)&amp;"""N"</f>
        <v>9°0'18.3"N</v>
      </c>
      <c r="P6" s="1" t="str">
        <f>INT(L6)&amp;"°"&amp;INT(MOD(L6,1)*60)&amp;"'"&amp;
ROUND(MOD(MOD(L6,1)*60,1)*60,1)&amp;"""E"</f>
        <v>105°3'11.1"E</v>
      </c>
      <c r="Q6" s="1" t="str">
        <f>O6 &amp; " " &amp; P6</f>
        <v>9°0'18.3"N 105°3'11.1"E</v>
      </c>
    </row>
    <row r="7" spans="1:17" ht="12.75" x14ac:dyDescent="0.2">
      <c r="A7" s="1">
        <v>109</v>
      </c>
      <c r="B7" s="1" t="s">
        <v>422</v>
      </c>
      <c r="C7" s="1" t="s">
        <v>15</v>
      </c>
      <c r="D7" s="1" t="s">
        <v>16</v>
      </c>
      <c r="E7" s="1" t="s">
        <v>400</v>
      </c>
      <c r="F7" s="1" t="s">
        <v>169</v>
      </c>
      <c r="G7" s="1" t="s">
        <v>423</v>
      </c>
      <c r="H7" s="1" t="s">
        <v>424</v>
      </c>
      <c r="I7" s="1" t="s">
        <v>21</v>
      </c>
      <c r="J7" s="1" t="s">
        <v>22</v>
      </c>
      <c r="K7" s="2">
        <v>9.1319505700000008</v>
      </c>
      <c r="L7" s="2">
        <v>104.91923543</v>
      </c>
      <c r="M7" s="1" t="s">
        <v>425</v>
      </c>
      <c r="N7" s="1" t="s">
        <v>169</v>
      </c>
      <c r="O7" s="1" t="str">
        <f>INT(K7)&amp;"°"&amp;INT(MOD(K7,1)*60)&amp;"'"&amp;
ROUND(MOD(MOD(K7,1)*60,1)*60,1)&amp;"""N"</f>
        <v>9°7'55"N</v>
      </c>
      <c r="P7" s="1" t="str">
        <f>INT(L7)&amp;"°"&amp;INT(MOD(L7,1)*60)&amp;"'"&amp;
ROUND(MOD(MOD(L7,1)*60,1)*60,1)&amp;"""E"</f>
        <v>104°55'9.2"E</v>
      </c>
      <c r="Q7" s="1" t="str">
        <f>O7 &amp; " " &amp; P7</f>
        <v>9°7'55"N 104°55'9.2"E</v>
      </c>
    </row>
    <row r="8" spans="1:17" ht="12.75" x14ac:dyDescent="0.2">
      <c r="A8" s="1">
        <v>38</v>
      </c>
      <c r="B8" s="1" t="s">
        <v>170</v>
      </c>
      <c r="C8" s="1" t="s">
        <v>15</v>
      </c>
      <c r="D8" s="1" t="s">
        <v>16</v>
      </c>
      <c r="E8" s="1" t="s">
        <v>165</v>
      </c>
      <c r="F8" s="1" t="s">
        <v>166</v>
      </c>
      <c r="G8" s="1" t="s">
        <v>171</v>
      </c>
      <c r="H8" s="1" t="s">
        <v>172</v>
      </c>
      <c r="I8" s="1" t="s">
        <v>21</v>
      </c>
      <c r="J8" s="1" t="s">
        <v>22</v>
      </c>
      <c r="K8" s="2">
        <v>9.1460515699999991</v>
      </c>
      <c r="L8" s="2">
        <v>105.42232161</v>
      </c>
      <c r="M8" s="1" t="s">
        <v>82</v>
      </c>
      <c r="N8" s="1" t="s">
        <v>169</v>
      </c>
      <c r="O8" s="1" t="str">
        <f>INT(K8)&amp;"°"&amp;INT(MOD(K8,1)*60)&amp;"'"&amp;
ROUND(MOD(MOD(K8,1)*60,1)*60,1)&amp;"""N"</f>
        <v>9°8'45.8"N</v>
      </c>
      <c r="P8" s="1" t="str">
        <f>INT(L8)&amp;"°"&amp;INT(MOD(L8,1)*60)&amp;"'"&amp;
ROUND(MOD(MOD(L8,1)*60,1)*60,1)&amp;"""E"</f>
        <v>105°25'20.4"E</v>
      </c>
      <c r="Q8" s="1" t="str">
        <f>O8 &amp; " " &amp; P8</f>
        <v>9°8'45.8"N 105°25'20.4"E</v>
      </c>
    </row>
    <row r="9" spans="1:17" ht="12.75" x14ac:dyDescent="0.2">
      <c r="A9" s="1">
        <v>102</v>
      </c>
      <c r="B9" s="1" t="s">
        <v>399</v>
      </c>
      <c r="C9" s="1" t="s">
        <v>15</v>
      </c>
      <c r="D9" s="1" t="s">
        <v>16</v>
      </c>
      <c r="E9" s="1" t="s">
        <v>400</v>
      </c>
      <c r="F9" s="1" t="s">
        <v>169</v>
      </c>
      <c r="G9" s="1" t="s">
        <v>169</v>
      </c>
      <c r="H9" s="1" t="s">
        <v>401</v>
      </c>
      <c r="I9" s="1" t="s">
        <v>27</v>
      </c>
      <c r="J9" s="1" t="s">
        <v>28</v>
      </c>
      <c r="K9" s="2">
        <v>9.1717640100000004</v>
      </c>
      <c r="L9" s="2">
        <v>105.19074542</v>
      </c>
      <c r="M9" s="1" t="s">
        <v>402</v>
      </c>
      <c r="N9" s="1" t="s">
        <v>169</v>
      </c>
      <c r="O9" s="1" t="str">
        <f>INT(K9)&amp;"°"&amp;INT(MOD(K9,1)*60)&amp;"'"&amp;
ROUND(MOD(MOD(K9,1)*60,1)*60,1)&amp;"""N"</f>
        <v>9°10'18.4"N</v>
      </c>
      <c r="P9" s="1" t="str">
        <f>INT(L9)&amp;"°"&amp;INT(MOD(L9,1)*60)&amp;"'"&amp;
ROUND(MOD(MOD(L9,1)*60,1)*60,1)&amp;"""E"</f>
        <v>105°11'26.7"E</v>
      </c>
      <c r="Q9" s="1" t="str">
        <f>O9 &amp; " " &amp; P9</f>
        <v>9°10'18.4"N 105°11'26.7"E</v>
      </c>
    </row>
    <row r="10" spans="1:17" ht="12.75" x14ac:dyDescent="0.2">
      <c r="A10" s="1">
        <v>40</v>
      </c>
      <c r="B10" s="1" t="s">
        <v>176</v>
      </c>
      <c r="C10" s="1" t="s">
        <v>15</v>
      </c>
      <c r="D10" s="1" t="s">
        <v>16</v>
      </c>
      <c r="E10" s="1" t="s">
        <v>165</v>
      </c>
      <c r="F10" s="1" t="s">
        <v>166</v>
      </c>
      <c r="G10" s="1" t="s">
        <v>177</v>
      </c>
      <c r="H10" s="1" t="s">
        <v>178</v>
      </c>
      <c r="I10" s="1" t="s">
        <v>21</v>
      </c>
      <c r="J10" s="1" t="s">
        <v>22</v>
      </c>
      <c r="K10" s="2">
        <v>9.2543588099999994</v>
      </c>
      <c r="L10" s="2">
        <v>105.61390998</v>
      </c>
      <c r="M10" s="1" t="s">
        <v>177</v>
      </c>
      <c r="N10" s="1" t="s">
        <v>169</v>
      </c>
      <c r="O10" s="1" t="str">
        <f>INT(K10)&amp;"°"&amp;INT(MOD(K10,1)*60)&amp;"'"&amp;
ROUND(MOD(MOD(K10,1)*60,1)*60,1)&amp;"""N"</f>
        <v>9°15'15.7"N</v>
      </c>
      <c r="P10" s="1" t="str">
        <f>INT(L10)&amp;"°"&amp;INT(MOD(L10,1)*60)&amp;"'"&amp;
ROUND(MOD(MOD(L10,1)*60,1)*60,1)&amp;"""E"</f>
        <v>105°36'50.1"E</v>
      </c>
      <c r="Q10" s="1" t="str">
        <f>O10 &amp; " " &amp; P10</f>
        <v>9°15'15.7"N 105°36'50.1"E</v>
      </c>
    </row>
    <row r="11" spans="1:17" ht="12.75" x14ac:dyDescent="0.2">
      <c r="A11" s="1">
        <v>39</v>
      </c>
      <c r="B11" s="1" t="s">
        <v>173</v>
      </c>
      <c r="C11" s="1" t="s">
        <v>15</v>
      </c>
      <c r="D11" s="1" t="s">
        <v>16</v>
      </c>
      <c r="E11" s="1" t="s">
        <v>165</v>
      </c>
      <c r="F11" s="1" t="s">
        <v>166</v>
      </c>
      <c r="G11" s="1" t="s">
        <v>174</v>
      </c>
      <c r="H11" s="1" t="s">
        <v>175</v>
      </c>
      <c r="I11" s="1" t="s">
        <v>53</v>
      </c>
      <c r="J11" s="1" t="s">
        <v>54</v>
      </c>
      <c r="K11" s="2">
        <v>9.2644612500000001</v>
      </c>
      <c r="L11" s="2">
        <v>105.39072333999999</v>
      </c>
      <c r="M11" s="1" t="s">
        <v>174</v>
      </c>
      <c r="N11" s="1" t="s">
        <v>169</v>
      </c>
      <c r="O11" s="1" t="str">
        <f>INT(K11)&amp;"°"&amp;INT(MOD(K11,1)*60)&amp;"'"&amp;
ROUND(MOD(MOD(K11,1)*60,1)*60,1)&amp;"""N"</f>
        <v>9°15'52.1"N</v>
      </c>
      <c r="P11" s="1" t="str">
        <f>INT(L11)&amp;"°"&amp;INT(MOD(L11,1)*60)&amp;"'"&amp;
ROUND(MOD(MOD(L11,1)*60,1)*60,1)&amp;"""E"</f>
        <v>105°23'26.6"E</v>
      </c>
      <c r="Q11" s="1" t="str">
        <f>O11 &amp; " " &amp; P11</f>
        <v>9°15'52.1"N 105°23'26.6"E</v>
      </c>
    </row>
    <row r="12" spans="1:17" ht="12.75" x14ac:dyDescent="0.2">
      <c r="A12" s="1">
        <v>37</v>
      </c>
      <c r="B12" s="1" t="s">
        <v>164</v>
      </c>
      <c r="C12" s="1" t="s">
        <v>15</v>
      </c>
      <c r="D12" s="1" t="s">
        <v>16</v>
      </c>
      <c r="E12" s="1" t="s">
        <v>165</v>
      </c>
      <c r="F12" s="1" t="s">
        <v>166</v>
      </c>
      <c r="G12" s="1" t="s">
        <v>166</v>
      </c>
      <c r="H12" s="1" t="s">
        <v>167</v>
      </c>
      <c r="I12" s="1" t="s">
        <v>27</v>
      </c>
      <c r="J12" s="1" t="s">
        <v>28</v>
      </c>
      <c r="K12" s="2">
        <v>9.2703824299999997</v>
      </c>
      <c r="L12" s="2">
        <v>105.76018813</v>
      </c>
      <c r="M12" s="1" t="s">
        <v>168</v>
      </c>
      <c r="N12" s="1" t="s">
        <v>169</v>
      </c>
      <c r="O12" s="1" t="str">
        <f>INT(K12)&amp;"°"&amp;INT(MOD(K12,1)*60)&amp;"'"&amp;
ROUND(MOD(MOD(K12,1)*60,1)*60,1)&amp;"""N"</f>
        <v>9°16'13.4"N</v>
      </c>
      <c r="P12" s="1" t="str">
        <f>INT(L12)&amp;"°"&amp;INT(MOD(L12,1)*60)&amp;"'"&amp;
ROUND(MOD(MOD(L12,1)*60,1)*60,1)&amp;"""E"</f>
        <v>105°45'36.7"E</v>
      </c>
      <c r="Q12" s="1" t="str">
        <f>O12 &amp; " " &amp; P12</f>
        <v>9°16'13.4"N 105°45'36.7"E</v>
      </c>
    </row>
    <row r="13" spans="1:17" ht="12.75" x14ac:dyDescent="0.2">
      <c r="A13" s="1">
        <v>583</v>
      </c>
      <c r="B13" s="1" t="s">
        <v>2116</v>
      </c>
      <c r="C13" s="1" t="s">
        <v>15</v>
      </c>
      <c r="D13" s="1" t="s">
        <v>16</v>
      </c>
      <c r="E13" s="1" t="s">
        <v>2082</v>
      </c>
      <c r="F13" s="1" t="s">
        <v>2083</v>
      </c>
      <c r="G13" s="1" t="s">
        <v>2117</v>
      </c>
      <c r="H13" s="1" t="s">
        <v>2118</v>
      </c>
      <c r="I13" s="1" t="s">
        <v>53</v>
      </c>
      <c r="J13" s="1" t="s">
        <v>54</v>
      </c>
      <c r="K13" s="2">
        <v>9.3561958399999998</v>
      </c>
      <c r="L13" s="2">
        <v>105.9948862</v>
      </c>
      <c r="M13" s="1" t="s">
        <v>2117</v>
      </c>
      <c r="N13" s="1" t="s">
        <v>431</v>
      </c>
      <c r="O13" s="1" t="str">
        <f>INT(K13)&amp;"°"&amp;INT(MOD(K13,1)*60)&amp;"'"&amp;
ROUND(MOD(MOD(K13,1)*60,1)*60,1)&amp;"""N"</f>
        <v>9°21'22.3"N</v>
      </c>
      <c r="P13" s="1" t="str">
        <f>INT(L13)&amp;"°"&amp;INT(MOD(L13,1)*60)&amp;"'"&amp;
ROUND(MOD(MOD(L13,1)*60,1)*60,1)&amp;"""E"</f>
        <v>105°59'41.6"E</v>
      </c>
      <c r="Q13" s="1" t="str">
        <f>O13 &amp; " " &amp; P13</f>
        <v>9°21'22.3"N 105°59'41.6"E</v>
      </c>
    </row>
    <row r="14" spans="1:17" ht="12.75" x14ac:dyDescent="0.2">
      <c r="A14" s="1">
        <v>43</v>
      </c>
      <c r="B14" s="1" t="s">
        <v>186</v>
      </c>
      <c r="C14" s="1" t="s">
        <v>15</v>
      </c>
      <c r="D14" s="1" t="s">
        <v>16</v>
      </c>
      <c r="E14" s="1" t="s">
        <v>165</v>
      </c>
      <c r="F14" s="1" t="s">
        <v>166</v>
      </c>
      <c r="G14" s="1" t="s">
        <v>187</v>
      </c>
      <c r="H14" s="1" t="s">
        <v>188</v>
      </c>
      <c r="I14" s="1" t="s">
        <v>21</v>
      </c>
      <c r="J14" s="1" t="s">
        <v>22</v>
      </c>
      <c r="K14" s="2">
        <v>9.3574981499999996</v>
      </c>
      <c r="L14" s="2">
        <v>105.70243721999999</v>
      </c>
      <c r="M14" s="1" t="s">
        <v>187</v>
      </c>
      <c r="N14" s="1" t="s">
        <v>169</v>
      </c>
      <c r="O14" s="1" t="str">
        <f>INT(K14)&amp;"°"&amp;INT(MOD(K14,1)*60)&amp;"'"&amp;
ROUND(MOD(MOD(K14,1)*60,1)*60,1)&amp;"""N"</f>
        <v>9°21'27"N</v>
      </c>
      <c r="P14" s="1" t="str">
        <f>INT(L14)&amp;"°"&amp;INT(MOD(L14,1)*60)&amp;"'"&amp;
ROUND(MOD(MOD(L14,1)*60,1)*60,1)&amp;"""E"</f>
        <v>105°42'8.8"E</v>
      </c>
      <c r="Q14" s="1" t="str">
        <f>O14 &amp; " " &amp; P14</f>
        <v>9°21'27"N 105°42'8.8"E</v>
      </c>
    </row>
    <row r="15" spans="1:17" ht="12.75" x14ac:dyDescent="0.2">
      <c r="A15" s="1">
        <v>108</v>
      </c>
      <c r="B15" s="1" t="s">
        <v>419</v>
      </c>
      <c r="C15" s="1" t="s">
        <v>15</v>
      </c>
      <c r="D15" s="1" t="s">
        <v>16</v>
      </c>
      <c r="E15" s="1" t="s">
        <v>400</v>
      </c>
      <c r="F15" s="1" t="s">
        <v>169</v>
      </c>
      <c r="G15" s="1" t="s">
        <v>420</v>
      </c>
      <c r="H15" s="1" t="s">
        <v>421</v>
      </c>
      <c r="I15" s="1" t="s">
        <v>21</v>
      </c>
      <c r="J15" s="1" t="s">
        <v>22</v>
      </c>
      <c r="K15" s="2">
        <v>9.3684862599999992</v>
      </c>
      <c r="L15" s="2">
        <v>105.13892147</v>
      </c>
      <c r="M15" s="1" t="s">
        <v>420</v>
      </c>
      <c r="N15" s="1" t="s">
        <v>169</v>
      </c>
      <c r="O15" s="1" t="str">
        <f>INT(K15)&amp;"°"&amp;INT(MOD(K15,1)*60)&amp;"'"&amp;
ROUND(MOD(MOD(K15,1)*60,1)*60,1)&amp;"""N"</f>
        <v>9°22'6.6"N</v>
      </c>
      <c r="P15" s="1" t="str">
        <f>INT(L15)&amp;"°"&amp;INT(MOD(L15,1)*60)&amp;"'"&amp;
ROUND(MOD(MOD(L15,1)*60,1)*60,1)&amp;"""E"</f>
        <v>105°8'20.1"E</v>
      </c>
      <c r="Q15" s="1" t="str">
        <f>O15 &amp; " " &amp; P15</f>
        <v>9°22'6.6"N 105°8'20.1"E</v>
      </c>
    </row>
    <row r="16" spans="1:17" ht="12.75" x14ac:dyDescent="0.2">
      <c r="A16" s="1">
        <v>110</v>
      </c>
      <c r="B16" s="1" t="s">
        <v>426</v>
      </c>
      <c r="C16" s="1" t="s">
        <v>15</v>
      </c>
      <c r="D16" s="1" t="s">
        <v>16</v>
      </c>
      <c r="E16" s="1" t="s">
        <v>400</v>
      </c>
      <c r="F16" s="1" t="s">
        <v>169</v>
      </c>
      <c r="G16" s="1" t="s">
        <v>427</v>
      </c>
      <c r="H16" s="1" t="s">
        <v>427</v>
      </c>
      <c r="I16" s="1" t="s">
        <v>21</v>
      </c>
      <c r="J16" s="1" t="s">
        <v>22</v>
      </c>
      <c r="K16" s="2">
        <v>9.3716105600000006</v>
      </c>
      <c r="L16" s="2">
        <v>104.94893824</v>
      </c>
      <c r="M16" s="1" t="s">
        <v>428</v>
      </c>
      <c r="N16" s="1" t="s">
        <v>169</v>
      </c>
      <c r="O16" s="1" t="str">
        <f>INT(K16)&amp;"°"&amp;INT(MOD(K16,1)*60)&amp;"'"&amp;
ROUND(MOD(MOD(K16,1)*60,1)*60,1)&amp;"""N"</f>
        <v>9°22'17.8"N</v>
      </c>
      <c r="P16" s="1" t="str">
        <f>INT(L16)&amp;"°"&amp;INT(MOD(L16,1)*60)&amp;"'"&amp;
ROUND(MOD(MOD(L16,1)*60,1)*60,1)&amp;"""E"</f>
        <v>104°56'56.2"E</v>
      </c>
      <c r="Q16" s="1" t="str">
        <f>O16 &amp; " " &amp; P16</f>
        <v>9°22'17.8"N 104°56'56.2"E</v>
      </c>
    </row>
    <row r="17" spans="1:17" ht="12.75" x14ac:dyDescent="0.2">
      <c r="A17" s="1">
        <v>42</v>
      </c>
      <c r="B17" s="1" t="s">
        <v>182</v>
      </c>
      <c r="C17" s="1" t="s">
        <v>15</v>
      </c>
      <c r="D17" s="1" t="s">
        <v>16</v>
      </c>
      <c r="E17" s="1" t="s">
        <v>165</v>
      </c>
      <c r="F17" s="1" t="s">
        <v>166</v>
      </c>
      <c r="G17" s="1" t="s">
        <v>183</v>
      </c>
      <c r="H17" s="1" t="s">
        <v>184</v>
      </c>
      <c r="I17" s="1" t="s">
        <v>21</v>
      </c>
      <c r="J17" s="1" t="s">
        <v>22</v>
      </c>
      <c r="K17" s="2">
        <v>9.3879962300000006</v>
      </c>
      <c r="L17" s="2">
        <v>105.42083211000001</v>
      </c>
      <c r="M17" s="1" t="s">
        <v>185</v>
      </c>
      <c r="N17" s="1" t="s">
        <v>169</v>
      </c>
      <c r="O17" s="1" t="str">
        <f>INT(K17)&amp;"°"&amp;INT(MOD(K17,1)*60)&amp;"'"&amp;
ROUND(MOD(MOD(K17,1)*60,1)*60,1)&amp;"""N"</f>
        <v>9°23'16.8"N</v>
      </c>
      <c r="P17" s="1" t="str">
        <f>INT(L17)&amp;"°"&amp;INT(MOD(L17,1)*60)&amp;"'"&amp;
ROUND(MOD(MOD(L17,1)*60,1)*60,1)&amp;"""E"</f>
        <v>105°25'15"E</v>
      </c>
      <c r="Q17" s="1" t="str">
        <f>O17 &amp; " " &amp; P17</f>
        <v>9°23'16.8"N 105°25'15"E</v>
      </c>
    </row>
    <row r="18" spans="1:17" ht="12.75" x14ac:dyDescent="0.2">
      <c r="A18" s="1">
        <v>578</v>
      </c>
      <c r="B18" s="1" t="s">
        <v>2099</v>
      </c>
      <c r="C18" s="1" t="s">
        <v>15</v>
      </c>
      <c r="D18" s="1" t="s">
        <v>16</v>
      </c>
      <c r="E18" s="1" t="s">
        <v>2082</v>
      </c>
      <c r="F18" s="1" t="s">
        <v>2083</v>
      </c>
      <c r="G18" s="1" t="s">
        <v>2100</v>
      </c>
      <c r="H18" s="1" t="s">
        <v>2101</v>
      </c>
      <c r="I18" s="1" t="s">
        <v>21</v>
      </c>
      <c r="J18" s="1" t="s">
        <v>22</v>
      </c>
      <c r="K18" s="2">
        <v>9.4634029000000002</v>
      </c>
      <c r="L18" s="2">
        <v>105.88470208</v>
      </c>
      <c r="M18" s="1" t="s">
        <v>2102</v>
      </c>
      <c r="N18" s="1" t="s">
        <v>431</v>
      </c>
      <c r="O18" s="1" t="str">
        <f>INT(K18)&amp;"°"&amp;INT(MOD(K18,1)*60)&amp;"'"&amp;
ROUND(MOD(MOD(K18,1)*60,1)*60,1)&amp;"""N"</f>
        <v>9°27'48.3"N</v>
      </c>
      <c r="P18" s="1" t="str">
        <f>INT(L18)&amp;"°"&amp;INT(MOD(L18,1)*60)&amp;"'"&amp;
ROUND(MOD(MOD(L18,1)*60,1)*60,1)&amp;"""E"</f>
        <v>105°53'4.9"E</v>
      </c>
      <c r="Q18" s="1" t="str">
        <f>O18 &amp; " " &amp; P18</f>
        <v>9°27'48.3"N 105°53'4.9"E</v>
      </c>
    </row>
    <row r="19" spans="1:17" ht="12.75" x14ac:dyDescent="0.2">
      <c r="A19" s="1">
        <v>581</v>
      </c>
      <c r="B19" s="1" t="s">
        <v>2109</v>
      </c>
      <c r="C19" s="1" t="s">
        <v>15</v>
      </c>
      <c r="D19" s="1" t="s">
        <v>16</v>
      </c>
      <c r="E19" s="1" t="s">
        <v>2082</v>
      </c>
      <c r="F19" s="1" t="s">
        <v>2083</v>
      </c>
      <c r="G19" s="1" t="s">
        <v>2110</v>
      </c>
      <c r="H19" s="1" t="s">
        <v>954</v>
      </c>
      <c r="I19" s="1" t="s">
        <v>21</v>
      </c>
      <c r="J19" s="1" t="s">
        <v>22</v>
      </c>
      <c r="K19" s="2">
        <v>9.4686289200000004</v>
      </c>
      <c r="L19" s="2">
        <v>105.71096032</v>
      </c>
      <c r="M19" s="1" t="s">
        <v>2111</v>
      </c>
      <c r="N19" s="1" t="s">
        <v>431</v>
      </c>
      <c r="O19" s="1" t="str">
        <f>INT(K19)&amp;"°"&amp;INT(MOD(K19,1)*60)&amp;"'"&amp;
ROUND(MOD(MOD(K19,1)*60,1)*60,1)&amp;"""N"</f>
        <v>9°28'7.1"N</v>
      </c>
      <c r="P19" s="1" t="str">
        <f>INT(L19)&amp;"°"&amp;INT(MOD(L19,1)*60)&amp;"'"&amp;
ROUND(MOD(MOD(L19,1)*60,1)*60,1)&amp;"""E"</f>
        <v>105°42'39.5"E</v>
      </c>
      <c r="Q19" s="1" t="str">
        <f>O19 &amp; " " &amp; P19</f>
        <v>9°28'7.1"N 105°42'39.5"E</v>
      </c>
    </row>
    <row r="20" spans="1:17" ht="12.75" x14ac:dyDescent="0.2">
      <c r="A20" s="1">
        <v>582</v>
      </c>
      <c r="B20" s="1" t="s">
        <v>2112</v>
      </c>
      <c r="C20" s="1" t="s">
        <v>15</v>
      </c>
      <c r="D20" s="1" t="s">
        <v>16</v>
      </c>
      <c r="E20" s="1" t="s">
        <v>2082</v>
      </c>
      <c r="F20" s="1" t="s">
        <v>2083</v>
      </c>
      <c r="G20" s="1" t="s">
        <v>2113</v>
      </c>
      <c r="H20" s="1" t="s">
        <v>2114</v>
      </c>
      <c r="I20" s="1" t="s">
        <v>21</v>
      </c>
      <c r="J20" s="1" t="s">
        <v>22</v>
      </c>
      <c r="K20" s="2">
        <v>9.4982504900000002</v>
      </c>
      <c r="L20" s="2">
        <v>106.09447072</v>
      </c>
      <c r="M20" s="1" t="s">
        <v>2115</v>
      </c>
      <c r="N20" s="1" t="s">
        <v>431</v>
      </c>
      <c r="O20" s="1" t="str">
        <f>INT(K20)&amp;"°"&amp;INT(MOD(K20,1)*60)&amp;"'"&amp;
ROUND(MOD(MOD(K20,1)*60,1)*60,1)&amp;"""N"</f>
        <v>9°29'53.7"N</v>
      </c>
      <c r="P20" s="1" t="str">
        <f>INT(L20)&amp;"°"&amp;INT(MOD(L20,1)*60)&amp;"'"&amp;
ROUND(MOD(MOD(L20,1)*60,1)*60,1)&amp;"""E"</f>
        <v>106°5'40.1"E</v>
      </c>
      <c r="Q20" s="1" t="str">
        <f>O20 &amp; " " &amp; P20</f>
        <v>9°29'53.7"N 106°5'40.1"E</v>
      </c>
    </row>
    <row r="21" spans="1:17" ht="15.75" customHeight="1" x14ac:dyDescent="0.2">
      <c r="A21" s="1">
        <v>41</v>
      </c>
      <c r="B21" s="1" t="s">
        <v>179</v>
      </c>
      <c r="C21" s="1" t="s">
        <v>15</v>
      </c>
      <c r="D21" s="1" t="s">
        <v>16</v>
      </c>
      <c r="E21" s="1" t="s">
        <v>165</v>
      </c>
      <c r="F21" s="1" t="s">
        <v>166</v>
      </c>
      <c r="G21" s="1" t="s">
        <v>180</v>
      </c>
      <c r="H21" s="1" t="s">
        <v>181</v>
      </c>
      <c r="I21" s="1" t="s">
        <v>21</v>
      </c>
      <c r="J21" s="1" t="s">
        <v>22</v>
      </c>
      <c r="K21" s="2">
        <v>9.5155077600000002</v>
      </c>
      <c r="L21" s="2">
        <v>105.40463779</v>
      </c>
      <c r="M21" s="1" t="s">
        <v>180</v>
      </c>
      <c r="N21" s="1" t="s">
        <v>169</v>
      </c>
      <c r="O21" s="1" t="str">
        <f>INT(K21)&amp;"°"&amp;INT(MOD(K21,1)*60)&amp;"'"&amp;
ROUND(MOD(MOD(K21,1)*60,1)*60,1)&amp;"""N"</f>
        <v>9°30'55.8"N</v>
      </c>
      <c r="P21" s="1" t="str">
        <f>INT(L21)&amp;"°"&amp;INT(MOD(L21,1)*60)&amp;"'"&amp;
ROUND(MOD(MOD(L21,1)*60,1)*60,1)&amp;"""E"</f>
        <v>105°24'16.7"E</v>
      </c>
      <c r="Q21" s="1" t="str">
        <f>O21 &amp; " " &amp; P21</f>
        <v>9°30'55.8"N 105°24'16.7"E</v>
      </c>
    </row>
    <row r="22" spans="1:17" ht="15.75" customHeight="1" x14ac:dyDescent="0.2">
      <c r="A22" s="1">
        <v>579</v>
      </c>
      <c r="B22" s="1" t="s">
        <v>2103</v>
      </c>
      <c r="C22" s="1" t="s">
        <v>15</v>
      </c>
      <c r="D22" s="1" t="s">
        <v>16</v>
      </c>
      <c r="E22" s="1" t="s">
        <v>2082</v>
      </c>
      <c r="F22" s="1" t="s">
        <v>2083</v>
      </c>
      <c r="G22" s="1" t="s">
        <v>2104</v>
      </c>
      <c r="H22" s="1" t="s">
        <v>2105</v>
      </c>
      <c r="I22" s="1" t="s">
        <v>53</v>
      </c>
      <c r="J22" s="1" t="s">
        <v>54</v>
      </c>
      <c r="K22" s="2">
        <v>9.5374310999999992</v>
      </c>
      <c r="L22" s="2">
        <v>105.61024962</v>
      </c>
      <c r="M22" s="1" t="s">
        <v>2106</v>
      </c>
      <c r="N22" s="1" t="s">
        <v>431</v>
      </c>
      <c r="O22" s="1" t="str">
        <f>INT(K22)&amp;"°"&amp;INT(MOD(K22,1)*60)&amp;"'"&amp;
ROUND(MOD(MOD(K22,1)*60,1)*60,1)&amp;"""N"</f>
        <v>9°32'14.8"N</v>
      </c>
      <c r="P22" s="1" t="str">
        <f>INT(L22)&amp;"°"&amp;INT(MOD(L22,1)*60)&amp;"'"&amp;
ROUND(MOD(MOD(L22,1)*60,1)*60,1)&amp;"""E"</f>
        <v>105°36'36.9"E</v>
      </c>
      <c r="Q22" s="1" t="str">
        <f>O22 &amp; " " &amp; P22</f>
        <v>9°32'14.8"N 105°36'36.9"E</v>
      </c>
    </row>
    <row r="23" spans="1:17" ht="15.75" customHeight="1" x14ac:dyDescent="0.2">
      <c r="A23" s="1">
        <v>375</v>
      </c>
      <c r="B23" s="1" t="s">
        <v>1370</v>
      </c>
      <c r="C23" s="1" t="s">
        <v>15</v>
      </c>
      <c r="D23" s="1" t="s">
        <v>16</v>
      </c>
      <c r="E23" s="1" t="s">
        <v>1326</v>
      </c>
      <c r="F23" s="1" t="s">
        <v>1327</v>
      </c>
      <c r="G23" s="1" t="s">
        <v>1371</v>
      </c>
      <c r="H23" s="1" t="s">
        <v>1372</v>
      </c>
      <c r="I23" s="1" t="s">
        <v>21</v>
      </c>
      <c r="J23" s="1" t="s">
        <v>22</v>
      </c>
      <c r="K23" s="2">
        <v>9.5399201300000005</v>
      </c>
      <c r="L23" s="2">
        <v>105.23850849</v>
      </c>
      <c r="M23" s="1" t="s">
        <v>1373</v>
      </c>
      <c r="N23" s="1" t="s">
        <v>18</v>
      </c>
      <c r="O23" s="1" t="str">
        <f>INT(K23)&amp;"°"&amp;INT(MOD(K23,1)*60)&amp;"'"&amp;
ROUND(MOD(MOD(K23,1)*60,1)*60,1)&amp;"""N"</f>
        <v>9°32'23.7"N</v>
      </c>
      <c r="P23" s="1" t="str">
        <f>INT(L23)&amp;"°"&amp;INT(MOD(L23,1)*60)&amp;"'"&amp;
ROUND(MOD(MOD(L23,1)*60,1)*60,1)&amp;"""E"</f>
        <v>105°14'18.6"E</v>
      </c>
      <c r="Q23" s="1" t="str">
        <f>O23 &amp; " " &amp; P23</f>
        <v>9°32'23.7"N 105°14'18.6"E</v>
      </c>
    </row>
    <row r="24" spans="1:17" ht="15.75" customHeight="1" x14ac:dyDescent="0.2">
      <c r="A24" s="1">
        <v>580</v>
      </c>
      <c r="B24" s="1" t="s">
        <v>2107</v>
      </c>
      <c r="C24" s="1" t="s">
        <v>15</v>
      </c>
      <c r="D24" s="1" t="s">
        <v>16</v>
      </c>
      <c r="E24" s="1" t="s">
        <v>2082</v>
      </c>
      <c r="F24" s="1" t="s">
        <v>2083</v>
      </c>
      <c r="G24" s="1" t="s">
        <v>2083</v>
      </c>
      <c r="H24" s="1" t="s">
        <v>2108</v>
      </c>
      <c r="I24" s="1" t="s">
        <v>27</v>
      </c>
      <c r="J24" s="1" t="s">
        <v>28</v>
      </c>
      <c r="K24" s="2">
        <v>9.60950594</v>
      </c>
      <c r="L24" s="2">
        <v>105.98495449000001</v>
      </c>
      <c r="M24" s="1" t="s">
        <v>2083</v>
      </c>
      <c r="N24" s="1" t="s">
        <v>431</v>
      </c>
      <c r="O24" s="1" t="str">
        <f>INT(K24)&amp;"°"&amp;INT(MOD(K24,1)*60)&amp;"'"&amp;
ROUND(MOD(MOD(K24,1)*60,1)*60,1)&amp;"""N"</f>
        <v>9°36'34.2"N</v>
      </c>
      <c r="P24" s="1" t="str">
        <f>INT(L24)&amp;"°"&amp;INT(MOD(L24,1)*60)&amp;"'"&amp;
ROUND(MOD(MOD(L24,1)*60,1)*60,1)&amp;"""E"</f>
        <v>105°59'5.8"E</v>
      </c>
      <c r="Q24" s="1" t="str">
        <f>O24 &amp; " " &amp; P24</f>
        <v>9°36'34.2"N 105°59'5.8"E</v>
      </c>
    </row>
    <row r="25" spans="1:17" ht="15.75" customHeight="1" x14ac:dyDescent="0.2">
      <c r="A25" s="1">
        <v>577</v>
      </c>
      <c r="B25" s="1" t="s">
        <v>2095</v>
      </c>
      <c r="C25" s="1" t="s">
        <v>15</v>
      </c>
      <c r="D25" s="1" t="s">
        <v>16</v>
      </c>
      <c r="E25" s="1" t="s">
        <v>2082</v>
      </c>
      <c r="F25" s="1" t="s">
        <v>2083</v>
      </c>
      <c r="G25" s="1" t="s">
        <v>2096</v>
      </c>
      <c r="H25" s="1" t="s">
        <v>2097</v>
      </c>
      <c r="I25" s="1" t="s">
        <v>21</v>
      </c>
      <c r="J25" s="1" t="s">
        <v>22</v>
      </c>
      <c r="K25" s="2">
        <v>9.6099127600000003</v>
      </c>
      <c r="L25" s="2">
        <v>105.78719665</v>
      </c>
      <c r="M25" s="1" t="s">
        <v>2098</v>
      </c>
      <c r="N25" s="1" t="s">
        <v>431</v>
      </c>
      <c r="O25" s="1" t="str">
        <f>INT(K25)&amp;"°"&amp;INT(MOD(K25,1)*60)&amp;"'"&amp;
ROUND(MOD(MOD(K25,1)*60,1)*60,1)&amp;"""N"</f>
        <v>9°36'35.7"N</v>
      </c>
      <c r="P25" s="1" t="str">
        <f>INT(L25)&amp;"°"&amp;INT(MOD(L25,1)*60)&amp;"'"&amp;
ROUND(MOD(MOD(L25,1)*60,1)*60,1)&amp;"""E"</f>
        <v>105°47'13.9"E</v>
      </c>
      <c r="Q25" s="1" t="str">
        <f>O25 &amp; " " &amp; P25</f>
        <v>9°36'35.7"N 105°47'13.9"E</v>
      </c>
    </row>
    <row r="26" spans="1:17" ht="15.75" customHeight="1" x14ac:dyDescent="0.2">
      <c r="A26" s="1">
        <v>673</v>
      </c>
      <c r="B26" s="1" t="s">
        <v>2430</v>
      </c>
      <c r="C26" s="1" t="s">
        <v>15</v>
      </c>
      <c r="D26" s="1" t="s">
        <v>16</v>
      </c>
      <c r="E26" s="1" t="s">
        <v>2417</v>
      </c>
      <c r="F26" s="1" t="s">
        <v>2418</v>
      </c>
      <c r="G26" s="1" t="s">
        <v>2431</v>
      </c>
      <c r="H26" s="1" t="s">
        <v>2432</v>
      </c>
      <c r="I26" s="1" t="s">
        <v>21</v>
      </c>
      <c r="J26" s="1" t="s">
        <v>22</v>
      </c>
      <c r="K26" s="2">
        <v>9.61198248</v>
      </c>
      <c r="L26" s="2">
        <v>106.39625137</v>
      </c>
      <c r="M26" s="1" t="s">
        <v>675</v>
      </c>
      <c r="N26" s="1" t="s">
        <v>221</v>
      </c>
      <c r="O26" s="1" t="str">
        <f>INT(K26)&amp;"°"&amp;INT(MOD(K26,1)*60)&amp;"'"&amp;
ROUND(MOD(MOD(K26,1)*60,1)*60,1)&amp;"""N"</f>
        <v>9°36'43.1"N</v>
      </c>
      <c r="P26" s="1" t="str">
        <f>INT(L26)&amp;"°"&amp;INT(MOD(L26,1)*60)&amp;"'"&amp;
ROUND(MOD(MOD(L26,1)*60,1)*60,1)&amp;"""E"</f>
        <v>106°23'46.5"E</v>
      </c>
      <c r="Q26" s="1" t="str">
        <f>O26 &amp; " " &amp; P26</f>
        <v>9°36'43.1"N 106°23'46.5"E</v>
      </c>
    </row>
    <row r="27" spans="1:17" ht="15.75" customHeight="1" x14ac:dyDescent="0.2">
      <c r="A27" s="1">
        <v>574</v>
      </c>
      <c r="B27" s="1" t="s">
        <v>2085</v>
      </c>
      <c r="C27" s="1" t="s">
        <v>15</v>
      </c>
      <c r="D27" s="1" t="s">
        <v>16</v>
      </c>
      <c r="E27" s="1" t="s">
        <v>2082</v>
      </c>
      <c r="F27" s="1" t="s">
        <v>2083</v>
      </c>
      <c r="G27" s="1" t="s">
        <v>2086</v>
      </c>
      <c r="H27" s="1" t="s">
        <v>2087</v>
      </c>
      <c r="I27" s="1" t="s">
        <v>21</v>
      </c>
      <c r="J27" s="1" t="s">
        <v>22</v>
      </c>
      <c r="K27" s="2">
        <v>9.6176436800000005</v>
      </c>
      <c r="L27" s="2">
        <v>106.19452825</v>
      </c>
      <c r="M27" s="1" t="s">
        <v>2086</v>
      </c>
      <c r="N27" s="1" t="s">
        <v>431</v>
      </c>
      <c r="O27" s="1" t="str">
        <f>INT(K27)&amp;"°"&amp;INT(MOD(K27,1)*60)&amp;"'"&amp;
ROUND(MOD(MOD(K27,1)*60,1)*60,1)&amp;"""N"</f>
        <v>9°37'3.5"N</v>
      </c>
      <c r="P27" s="1" t="str">
        <f>INT(L27)&amp;"°"&amp;INT(MOD(L27,1)*60)&amp;"'"&amp;
ROUND(MOD(MOD(L27,1)*60,1)*60,1)&amp;"""E"</f>
        <v>106°11'40.3"E</v>
      </c>
      <c r="Q27" s="1" t="str">
        <f>O27 &amp; " " &amp; P27</f>
        <v>9°37'3.5"N 106°11'40.3"E</v>
      </c>
    </row>
    <row r="28" spans="1:17" ht="15.75" customHeight="1" x14ac:dyDescent="0.2">
      <c r="A28" s="1">
        <v>374</v>
      </c>
      <c r="B28" s="1" t="s">
        <v>1367</v>
      </c>
      <c r="C28" s="1" t="s">
        <v>15</v>
      </c>
      <c r="D28" s="1" t="s">
        <v>16</v>
      </c>
      <c r="E28" s="1" t="s">
        <v>1326</v>
      </c>
      <c r="F28" s="1" t="s">
        <v>1327</v>
      </c>
      <c r="G28" s="1" t="s">
        <v>1368</v>
      </c>
      <c r="H28" s="1" t="s">
        <v>1369</v>
      </c>
      <c r="I28" s="1" t="s">
        <v>21</v>
      </c>
      <c r="J28" s="1" t="s">
        <v>22</v>
      </c>
      <c r="K28" s="2">
        <v>9.6270927000000004</v>
      </c>
      <c r="L28" s="2">
        <v>105.12644584</v>
      </c>
      <c r="M28" s="1" t="s">
        <v>1368</v>
      </c>
      <c r="N28" s="1" t="s">
        <v>18</v>
      </c>
      <c r="O28" s="1" t="str">
        <f>INT(K28)&amp;"°"&amp;INT(MOD(K28,1)*60)&amp;"'"&amp;
ROUND(MOD(MOD(K28,1)*60,1)*60,1)&amp;"""N"</f>
        <v>9°37'37.5"N</v>
      </c>
      <c r="P28" s="1" t="str">
        <f>INT(L28)&amp;"°"&amp;INT(MOD(L28,1)*60)&amp;"'"&amp;
ROUND(MOD(MOD(L28,1)*60,1)*60,1)&amp;"""E"</f>
        <v>105°7'35.2"E</v>
      </c>
      <c r="Q28" s="1" t="str">
        <f>O28 &amp; " " &amp; P28</f>
        <v>9°37'37.5"N 105°7'35.2"E</v>
      </c>
    </row>
    <row r="29" spans="1:17" ht="15.75" customHeight="1" x14ac:dyDescent="0.2">
      <c r="A29" s="1">
        <v>302</v>
      </c>
      <c r="B29" s="1" t="s">
        <v>1112</v>
      </c>
      <c r="C29" s="1" t="s">
        <v>15</v>
      </c>
      <c r="D29" s="1" t="s">
        <v>16</v>
      </c>
      <c r="E29" s="1" t="s">
        <v>1106</v>
      </c>
      <c r="F29" s="1" t="s">
        <v>1107</v>
      </c>
      <c r="G29" s="1" t="s">
        <v>1113</v>
      </c>
      <c r="H29" s="1" t="s">
        <v>1114</v>
      </c>
      <c r="I29" s="1" t="s">
        <v>21</v>
      </c>
      <c r="J29" s="1" t="s">
        <v>22</v>
      </c>
      <c r="K29" s="2">
        <v>9.6484022100000004</v>
      </c>
      <c r="L29" s="2">
        <v>105.47832493</v>
      </c>
      <c r="M29" s="1" t="s">
        <v>1115</v>
      </c>
      <c r="N29" s="1" t="s">
        <v>431</v>
      </c>
      <c r="O29" s="1" t="str">
        <f>INT(K29)&amp;"°"&amp;INT(MOD(K29,1)*60)&amp;"'"&amp;
ROUND(MOD(MOD(K29,1)*60,1)*60,1)&amp;"""N"</f>
        <v>9°38'54.2"N</v>
      </c>
      <c r="P29" s="1" t="str">
        <f>INT(L29)&amp;"°"&amp;INT(MOD(L29,1)*60)&amp;"'"&amp;
ROUND(MOD(MOD(L29,1)*60,1)*60,1)&amp;"""E"</f>
        <v>105°28'42"E</v>
      </c>
      <c r="Q29" s="1" t="str">
        <f>O29 &amp; " " &amp; P29</f>
        <v>9°38'54.2"N 105°28'42"E</v>
      </c>
    </row>
    <row r="30" spans="1:17" ht="15.75" customHeight="1" x14ac:dyDescent="0.2">
      <c r="A30" s="1">
        <v>576</v>
      </c>
      <c r="B30" s="1" t="s">
        <v>2092</v>
      </c>
      <c r="C30" s="1" t="s">
        <v>15</v>
      </c>
      <c r="D30" s="1" t="s">
        <v>16</v>
      </c>
      <c r="E30" s="1" t="s">
        <v>2082</v>
      </c>
      <c r="F30" s="1" t="s">
        <v>2083</v>
      </c>
      <c r="G30" s="1" t="s">
        <v>2093</v>
      </c>
      <c r="H30" s="1" t="s">
        <v>2094</v>
      </c>
      <c r="I30" s="1" t="s">
        <v>21</v>
      </c>
      <c r="J30" s="1" t="s">
        <v>22</v>
      </c>
      <c r="K30" s="2">
        <v>9.6513107999999992</v>
      </c>
      <c r="L30" s="2">
        <v>106.07456574</v>
      </c>
      <c r="M30" s="1" t="s">
        <v>735</v>
      </c>
      <c r="N30" s="1" t="s">
        <v>431</v>
      </c>
      <c r="O30" s="1" t="str">
        <f>INT(K30)&amp;"°"&amp;INT(MOD(K30,1)*60)&amp;"'"&amp;
ROUND(MOD(MOD(K30,1)*60,1)*60,1)&amp;"""N"</f>
        <v>9°39'4.7"N</v>
      </c>
      <c r="P30" s="1" t="str">
        <f>INT(L30)&amp;"°"&amp;INT(MOD(L30,1)*60)&amp;"'"&amp;
ROUND(MOD(MOD(L30,1)*60,1)*60,1)&amp;"""E"</f>
        <v>106°4'28.4"E</v>
      </c>
      <c r="Q30" s="1" t="str">
        <f>O30 &amp; " " &amp; P30</f>
        <v>9°39'4.7"N 106°4'28.4"E</v>
      </c>
    </row>
    <row r="31" spans="1:17" ht="15.75" customHeight="1" x14ac:dyDescent="0.2">
      <c r="A31" s="1">
        <v>674</v>
      </c>
      <c r="B31" s="1" t="s">
        <v>2433</v>
      </c>
      <c r="C31" s="1" t="s">
        <v>15</v>
      </c>
      <c r="D31" s="1" t="s">
        <v>16</v>
      </c>
      <c r="E31" s="1" t="s">
        <v>2417</v>
      </c>
      <c r="F31" s="1" t="s">
        <v>2418</v>
      </c>
      <c r="G31" s="1" t="s">
        <v>2434</v>
      </c>
      <c r="H31" s="1" t="s">
        <v>2432</v>
      </c>
      <c r="I31" s="1" t="s">
        <v>53</v>
      </c>
      <c r="J31" s="1" t="s">
        <v>54</v>
      </c>
      <c r="K31" s="2">
        <v>9.65854708</v>
      </c>
      <c r="L31" s="2">
        <v>106.51867772</v>
      </c>
      <c r="M31" s="1" t="s">
        <v>2435</v>
      </c>
      <c r="N31" s="1" t="s">
        <v>221</v>
      </c>
      <c r="O31" s="1" t="str">
        <f>INT(K31)&amp;"°"&amp;INT(MOD(K31,1)*60)&amp;"'"&amp;
ROUND(MOD(MOD(K31,1)*60,1)*60,1)&amp;"""N"</f>
        <v>9°39'30.8"N</v>
      </c>
      <c r="P31" s="1" t="str">
        <f>INT(L31)&amp;"°"&amp;INT(MOD(L31,1)*60)&amp;"'"&amp;
ROUND(MOD(MOD(L31,1)*60,1)*60,1)&amp;"""E"</f>
        <v>106°31'7.2"E</v>
      </c>
      <c r="Q31" s="1" t="str">
        <f>O31 &amp; " " &amp; P31</f>
        <v>9°39'30.8"N 106°31'7.2"E</v>
      </c>
    </row>
    <row r="32" spans="1:17" ht="15.75" customHeight="1" x14ac:dyDescent="0.2">
      <c r="A32" s="1">
        <v>362</v>
      </c>
      <c r="B32" s="1" t="s">
        <v>1330</v>
      </c>
      <c r="C32" s="1" t="s">
        <v>15</v>
      </c>
      <c r="D32" s="1" t="s">
        <v>16</v>
      </c>
      <c r="E32" s="1" t="s">
        <v>1326</v>
      </c>
      <c r="F32" s="1" t="s">
        <v>1327</v>
      </c>
      <c r="G32" s="1" t="s">
        <v>1331</v>
      </c>
      <c r="H32" s="1" t="s">
        <v>1331</v>
      </c>
      <c r="I32" s="1" t="s">
        <v>21</v>
      </c>
      <c r="J32" s="1" t="s">
        <v>22</v>
      </c>
      <c r="K32" s="2">
        <v>9.6608246399999995</v>
      </c>
      <c r="L32" s="2">
        <v>104.93778460999999</v>
      </c>
      <c r="M32" s="1" t="s">
        <v>1331</v>
      </c>
      <c r="N32" s="1" t="s">
        <v>18</v>
      </c>
      <c r="O32" s="1" t="str">
        <f>INT(K32)&amp;"°"&amp;INT(MOD(K32,1)*60)&amp;"'"&amp;
ROUND(MOD(MOD(K32,1)*60,1)*60,1)&amp;"""N"</f>
        <v>9°39'39"N</v>
      </c>
      <c r="P32" s="1" t="str">
        <f>INT(L32)&amp;"°"&amp;INT(MOD(L32,1)*60)&amp;"'"&amp;
ROUND(MOD(MOD(L32,1)*60,1)*60,1)&amp;"""E"</f>
        <v>104°56'16"E</v>
      </c>
      <c r="Q32" s="1" t="str">
        <f>O32 &amp; " " &amp; P32</f>
        <v>9°39'39"N 104°56'16"E</v>
      </c>
    </row>
    <row r="33" spans="1:17" ht="15.75" customHeight="1" x14ac:dyDescent="0.2">
      <c r="A33" s="1">
        <v>573</v>
      </c>
      <c r="B33" s="1" t="s">
        <v>2081</v>
      </c>
      <c r="C33" s="1" t="s">
        <v>15</v>
      </c>
      <c r="D33" s="1" t="s">
        <v>16</v>
      </c>
      <c r="E33" s="1" t="s">
        <v>2082</v>
      </c>
      <c r="F33" s="1" t="s">
        <v>2083</v>
      </c>
      <c r="G33" s="1" t="s">
        <v>35</v>
      </c>
      <c r="H33" s="1" t="s">
        <v>36</v>
      </c>
      <c r="I33" s="1" t="s">
        <v>21</v>
      </c>
      <c r="J33" s="1" t="s">
        <v>22</v>
      </c>
      <c r="K33" s="2">
        <v>9.6804150399999997</v>
      </c>
      <c r="L33" s="2">
        <v>105.90577295999999</v>
      </c>
      <c r="M33" s="1" t="s">
        <v>2084</v>
      </c>
      <c r="N33" s="1" t="s">
        <v>431</v>
      </c>
      <c r="O33" s="1" t="str">
        <f>INT(K33)&amp;"°"&amp;INT(MOD(K33,1)*60)&amp;"'"&amp;
ROUND(MOD(MOD(K33,1)*60,1)*60,1)&amp;"""N"</f>
        <v>9°40'49.5"N</v>
      </c>
      <c r="P33" s="1" t="str">
        <f>INT(L33)&amp;"°"&amp;INT(MOD(L33,1)*60)&amp;"'"&amp;
ROUND(MOD(MOD(L33,1)*60,1)*60,1)&amp;"""E"</f>
        <v>105°54'20.8"E</v>
      </c>
      <c r="Q33" s="1" t="str">
        <f>O33 &amp; " " &amp; P33</f>
        <v>9°40'49.5"N 105°54'20.8"E</v>
      </c>
    </row>
    <row r="34" spans="1:17" ht="15.75" customHeight="1" x14ac:dyDescent="0.2">
      <c r="A34" s="1">
        <v>303</v>
      </c>
      <c r="B34" s="1" t="s">
        <v>1116</v>
      </c>
      <c r="C34" s="1" t="s">
        <v>15</v>
      </c>
      <c r="D34" s="1" t="s">
        <v>16</v>
      </c>
      <c r="E34" s="1" t="s">
        <v>1106</v>
      </c>
      <c r="F34" s="1" t="s">
        <v>1107</v>
      </c>
      <c r="G34" s="1" t="s">
        <v>1117</v>
      </c>
      <c r="H34" s="1" t="s">
        <v>1114</v>
      </c>
      <c r="I34" s="1" t="s">
        <v>53</v>
      </c>
      <c r="J34" s="1" t="s">
        <v>54</v>
      </c>
      <c r="K34" s="2">
        <v>9.6839825899999994</v>
      </c>
      <c r="L34" s="2">
        <v>105.61360598</v>
      </c>
      <c r="M34" s="1" t="s">
        <v>1113</v>
      </c>
      <c r="N34" s="1" t="s">
        <v>431</v>
      </c>
      <c r="O34" s="1" t="str">
        <f>INT(K34)&amp;"°"&amp;INT(MOD(K34,1)*60)&amp;"'"&amp;
ROUND(MOD(MOD(K34,1)*60,1)*60,1)&amp;"""N"</f>
        <v>9°41'2.3"N</v>
      </c>
      <c r="P34" s="1" t="str">
        <f>INT(L34)&amp;"°"&amp;INT(MOD(L34,1)*60)&amp;"'"&amp;
ROUND(MOD(MOD(L34,1)*60,1)*60,1)&amp;"""E"</f>
        <v>105°36'49"E</v>
      </c>
      <c r="Q34" s="1" t="str">
        <f>O34 &amp; " " &amp; P34</f>
        <v>9°41'2.3"N 105°36'49"E</v>
      </c>
    </row>
    <row r="35" spans="1:17" ht="15.75" customHeight="1" x14ac:dyDescent="0.2">
      <c r="A35" s="1">
        <v>676</v>
      </c>
      <c r="B35" s="1" t="s">
        <v>2439</v>
      </c>
      <c r="C35" s="1" t="s">
        <v>15</v>
      </c>
      <c r="D35" s="1" t="s">
        <v>16</v>
      </c>
      <c r="E35" s="1" t="s">
        <v>2417</v>
      </c>
      <c r="F35" s="1" t="s">
        <v>2418</v>
      </c>
      <c r="G35" s="1" t="s">
        <v>2440</v>
      </c>
      <c r="H35" s="1" t="s">
        <v>2441</v>
      </c>
      <c r="I35" s="1" t="s">
        <v>21</v>
      </c>
      <c r="J35" s="1" t="s">
        <v>22</v>
      </c>
      <c r="K35" s="2">
        <v>9.7025349300000006</v>
      </c>
      <c r="L35" s="2">
        <v>106.27433146</v>
      </c>
      <c r="M35" s="1" t="s">
        <v>2440</v>
      </c>
      <c r="N35" s="1" t="s">
        <v>221</v>
      </c>
      <c r="O35" s="1" t="str">
        <f>INT(K35)&amp;"°"&amp;INT(MOD(K35,1)*60)&amp;"'"&amp;
ROUND(MOD(MOD(K35,1)*60,1)*60,1)&amp;"""N"</f>
        <v>9°42'9.1"N</v>
      </c>
      <c r="P35" s="1" t="str">
        <f>INT(L35)&amp;"°"&amp;INT(MOD(L35,1)*60)&amp;"'"&amp;
ROUND(MOD(MOD(L35,1)*60,1)*60,1)&amp;"""E"</f>
        <v>106°16'27.6"E</v>
      </c>
      <c r="Q35" s="1" t="str">
        <f>O35 &amp; " " &amp; P35</f>
        <v>9°42'9.1"N 106°16'27.6"E</v>
      </c>
    </row>
    <row r="36" spans="1:17" ht="15.75" customHeight="1" x14ac:dyDescent="0.2">
      <c r="A36" s="1">
        <v>366</v>
      </c>
      <c r="B36" s="1" t="s">
        <v>1341</v>
      </c>
      <c r="C36" s="1" t="s">
        <v>15</v>
      </c>
      <c r="D36" s="1" t="s">
        <v>16</v>
      </c>
      <c r="E36" s="1" t="s">
        <v>1326</v>
      </c>
      <c r="F36" s="1" t="s">
        <v>1327</v>
      </c>
      <c r="G36" s="1" t="s">
        <v>1342</v>
      </c>
      <c r="H36" s="1" t="s">
        <v>1343</v>
      </c>
      <c r="I36" s="1" t="s">
        <v>21</v>
      </c>
      <c r="J36" s="1" t="s">
        <v>22</v>
      </c>
      <c r="K36" s="2">
        <v>9.7413342899999993</v>
      </c>
      <c r="L36" s="2">
        <v>105.29556338</v>
      </c>
      <c r="M36" s="1" t="s">
        <v>1342</v>
      </c>
      <c r="N36" s="1" t="s">
        <v>18</v>
      </c>
      <c r="O36" s="1" t="str">
        <f>INT(K36)&amp;"°"&amp;INT(MOD(K36,1)*60)&amp;"'"&amp;
ROUND(MOD(MOD(K36,1)*60,1)*60,1)&amp;"""N"</f>
        <v>9°44'28.8"N</v>
      </c>
      <c r="P36" s="1" t="str">
        <f>INT(L36)&amp;"°"&amp;INT(MOD(L36,1)*60)&amp;"'"&amp;
ROUND(MOD(MOD(L36,1)*60,1)*60,1)&amp;"""E"</f>
        <v>105°17'44"E</v>
      </c>
      <c r="Q36" s="1" t="str">
        <f>O36 &amp; " " &amp; P36</f>
        <v>9°44'28.8"N 105°17'44"E</v>
      </c>
    </row>
    <row r="37" spans="1:17" ht="15.75" customHeight="1" x14ac:dyDescent="0.2">
      <c r="A37" s="1">
        <v>306</v>
      </c>
      <c r="B37" s="1" t="s">
        <v>1125</v>
      </c>
      <c r="C37" s="1" t="s">
        <v>15</v>
      </c>
      <c r="D37" s="1" t="s">
        <v>16</v>
      </c>
      <c r="E37" s="1" t="s">
        <v>1106</v>
      </c>
      <c r="F37" s="1" t="s">
        <v>1107</v>
      </c>
      <c r="G37" s="1" t="s">
        <v>1126</v>
      </c>
      <c r="H37" s="1" t="s">
        <v>1127</v>
      </c>
      <c r="I37" s="1" t="s">
        <v>27</v>
      </c>
      <c r="J37" s="1" t="s">
        <v>28</v>
      </c>
      <c r="K37" s="2">
        <v>9.7483992700000002</v>
      </c>
      <c r="L37" s="2">
        <v>105.42814731999999</v>
      </c>
      <c r="M37" s="1" t="s">
        <v>1126</v>
      </c>
      <c r="N37" s="1" t="s">
        <v>431</v>
      </c>
      <c r="O37" s="1" t="str">
        <f>INT(K37)&amp;"°"&amp;INT(MOD(K37,1)*60)&amp;"'"&amp;
ROUND(MOD(MOD(K37,1)*60,1)*60,1)&amp;"""N"</f>
        <v>9°44'54.2"N</v>
      </c>
      <c r="P37" s="1" t="str">
        <f>INT(L37)&amp;"°"&amp;INT(MOD(L37,1)*60)&amp;"'"&amp;
ROUND(MOD(MOD(L37,1)*60,1)*60,1)&amp;"""E"</f>
        <v>105°25'41.3"E</v>
      </c>
      <c r="Q37" s="1" t="str">
        <f>O37 &amp; " " &amp; P37</f>
        <v>9°44'54.2"N 105°25'41.3"E</v>
      </c>
    </row>
    <row r="38" spans="1:17" ht="15.75" customHeight="1" x14ac:dyDescent="0.2">
      <c r="A38" s="1">
        <v>671</v>
      </c>
      <c r="B38" s="1" t="s">
        <v>2425</v>
      </c>
      <c r="C38" s="1" t="s">
        <v>15</v>
      </c>
      <c r="D38" s="1" t="s">
        <v>16</v>
      </c>
      <c r="E38" s="1" t="s">
        <v>2417</v>
      </c>
      <c r="F38" s="1" t="s">
        <v>2418</v>
      </c>
      <c r="G38" s="1" t="s">
        <v>2426</v>
      </c>
      <c r="H38" s="1" t="s">
        <v>2427</v>
      </c>
      <c r="I38" s="1" t="s">
        <v>21</v>
      </c>
      <c r="J38" s="1" t="s">
        <v>22</v>
      </c>
      <c r="K38" s="2">
        <v>9.7803303899999996</v>
      </c>
      <c r="L38" s="2">
        <v>106.44711298999999</v>
      </c>
      <c r="M38" s="1" t="s">
        <v>2426</v>
      </c>
      <c r="N38" s="1" t="s">
        <v>221</v>
      </c>
      <c r="O38" s="1" t="str">
        <f>INT(K38)&amp;"°"&amp;INT(MOD(K38,1)*60)&amp;"'"&amp;
ROUND(MOD(MOD(K38,1)*60,1)*60,1)&amp;"""N"</f>
        <v>9°46'49.2"N</v>
      </c>
      <c r="P38" s="1" t="str">
        <f>INT(L38)&amp;"°"&amp;INT(MOD(L38,1)*60)&amp;"'"&amp;
ROUND(MOD(MOD(L38,1)*60,1)*60,1)&amp;"""E"</f>
        <v>106°26'49.6"E</v>
      </c>
      <c r="Q38" s="1" t="str">
        <f>O38 &amp; " " &amp; P38</f>
        <v>9°46'49.2"N 106°26'49.6"E</v>
      </c>
    </row>
    <row r="39" spans="1:17" ht="15.75" customHeight="1" x14ac:dyDescent="0.2">
      <c r="A39" s="1">
        <v>369</v>
      </c>
      <c r="B39" s="1" t="s">
        <v>1350</v>
      </c>
      <c r="C39" s="1" t="s">
        <v>15</v>
      </c>
      <c r="D39" s="1" t="s">
        <v>16</v>
      </c>
      <c r="E39" s="1" t="s">
        <v>1326</v>
      </c>
      <c r="F39" s="1" t="s">
        <v>1327</v>
      </c>
      <c r="G39" s="1" t="s">
        <v>1351</v>
      </c>
      <c r="H39" s="1" t="s">
        <v>1352</v>
      </c>
      <c r="I39" s="1" t="s">
        <v>21</v>
      </c>
      <c r="J39" s="1" t="s">
        <v>22</v>
      </c>
      <c r="K39" s="2">
        <v>9.7880030399999995</v>
      </c>
      <c r="L39" s="2">
        <v>104.57038063</v>
      </c>
      <c r="M39" s="1" t="s">
        <v>1351</v>
      </c>
      <c r="N39" s="1" t="s">
        <v>18</v>
      </c>
      <c r="O39" s="1" t="str">
        <f>INT(K39)&amp;"°"&amp;INT(MOD(K39,1)*60)&amp;"'"&amp;
ROUND(MOD(MOD(K39,1)*60,1)*60,1)&amp;"""N"</f>
        <v>9°47'16.8"N</v>
      </c>
      <c r="P39" s="1" t="str">
        <f>INT(L39)&amp;"°"&amp;INT(MOD(L39,1)*60)&amp;"'"&amp;
ROUND(MOD(MOD(L39,1)*60,1)*60,1)&amp;"""E"</f>
        <v>104°34'13.4"E</v>
      </c>
      <c r="Q39" s="1" t="str">
        <f>O39 &amp; " " &amp; P39</f>
        <v>9°47'16.8"N 104°34'13.4"E</v>
      </c>
    </row>
    <row r="40" spans="1:17" ht="15.75" customHeight="1" x14ac:dyDescent="0.2">
      <c r="A40" s="1">
        <v>305</v>
      </c>
      <c r="B40" s="1" t="s">
        <v>1122</v>
      </c>
      <c r="C40" s="1" t="s">
        <v>15</v>
      </c>
      <c r="D40" s="1" t="s">
        <v>16</v>
      </c>
      <c r="E40" s="1" t="s">
        <v>1106</v>
      </c>
      <c r="F40" s="1" t="s">
        <v>1107</v>
      </c>
      <c r="G40" s="1" t="s">
        <v>1123</v>
      </c>
      <c r="H40" s="1" t="s">
        <v>1124</v>
      </c>
      <c r="I40" s="1" t="s">
        <v>21</v>
      </c>
      <c r="J40" s="1" t="s">
        <v>22</v>
      </c>
      <c r="K40" s="2">
        <v>9.7946929699999998</v>
      </c>
      <c r="L40" s="2">
        <v>105.70650980000001</v>
      </c>
      <c r="M40" s="1" t="s">
        <v>1123</v>
      </c>
      <c r="N40" s="1" t="s">
        <v>431</v>
      </c>
      <c r="O40" s="1" t="str">
        <f>INT(K40)&amp;"°"&amp;INT(MOD(K40,1)*60)&amp;"'"&amp;
ROUND(MOD(MOD(K40,1)*60,1)*60,1)&amp;"""N"</f>
        <v>9°47'40.9"N</v>
      </c>
      <c r="P40" s="1" t="str">
        <f>INT(L40)&amp;"°"&amp;INT(MOD(L40,1)*60)&amp;"'"&amp;
ROUND(MOD(MOD(L40,1)*60,1)*60,1)&amp;"""E"</f>
        <v>105°42'23.4"E</v>
      </c>
      <c r="Q40" s="1" t="str">
        <f>O40 &amp; " " &amp; P40</f>
        <v>9°47'40.9"N 105°42'23.4"E</v>
      </c>
    </row>
    <row r="41" spans="1:17" ht="15.75" customHeight="1" x14ac:dyDescent="0.2">
      <c r="A41" s="1">
        <v>307</v>
      </c>
      <c r="B41" s="1" t="s">
        <v>1128</v>
      </c>
      <c r="C41" s="1" t="s">
        <v>15</v>
      </c>
      <c r="D41" s="1" t="s">
        <v>16</v>
      </c>
      <c r="E41" s="1" t="s">
        <v>1106</v>
      </c>
      <c r="F41" s="1" t="s">
        <v>1107</v>
      </c>
      <c r="G41" s="1" t="s">
        <v>1129</v>
      </c>
      <c r="H41" s="1" t="s">
        <v>1130</v>
      </c>
      <c r="I41" s="1" t="s">
        <v>21</v>
      </c>
      <c r="J41" s="1" t="s">
        <v>22</v>
      </c>
      <c r="K41" s="2">
        <v>9.7985110500000001</v>
      </c>
      <c r="L41" s="2">
        <v>105.53717422</v>
      </c>
      <c r="M41" s="1" t="s">
        <v>1131</v>
      </c>
      <c r="N41" s="1" t="s">
        <v>431</v>
      </c>
      <c r="O41" s="1" t="str">
        <f>INT(K41)&amp;"°"&amp;INT(MOD(K41,1)*60)&amp;"'"&amp;
ROUND(MOD(MOD(K41,1)*60,1)*60,1)&amp;"""N"</f>
        <v>9°47'54.6"N</v>
      </c>
      <c r="P41" s="1" t="str">
        <f>INT(L41)&amp;"°"&amp;INT(MOD(L41,1)*60)&amp;"'"&amp;
ROUND(MOD(MOD(L41,1)*60,1)*60,1)&amp;"""E"</f>
        <v>105°32'13.8"E</v>
      </c>
      <c r="Q41" s="1" t="str">
        <f>O41 &amp; " " &amp; P41</f>
        <v>9°47'54.6"N 105°32'13.8"E</v>
      </c>
    </row>
    <row r="42" spans="1:17" ht="15.75" customHeight="1" x14ac:dyDescent="0.2">
      <c r="A42" s="1">
        <v>675</v>
      </c>
      <c r="B42" s="1" t="s">
        <v>2436</v>
      </c>
      <c r="C42" s="1" t="s">
        <v>15</v>
      </c>
      <c r="D42" s="1" t="s">
        <v>16</v>
      </c>
      <c r="E42" s="1" t="s">
        <v>2417</v>
      </c>
      <c r="F42" s="1" t="s">
        <v>2418</v>
      </c>
      <c r="G42" s="1" t="s">
        <v>2437</v>
      </c>
      <c r="H42" s="1" t="s">
        <v>2438</v>
      </c>
      <c r="I42" s="1" t="s">
        <v>21</v>
      </c>
      <c r="J42" s="1" t="s">
        <v>22</v>
      </c>
      <c r="K42" s="2">
        <v>9.8039578699999996</v>
      </c>
      <c r="L42" s="2">
        <v>106.19672405</v>
      </c>
      <c r="M42" s="1" t="s">
        <v>2437</v>
      </c>
      <c r="N42" s="1" t="s">
        <v>221</v>
      </c>
      <c r="O42" s="1" t="str">
        <f>INT(K42)&amp;"°"&amp;INT(MOD(K42,1)*60)&amp;"'"&amp;
ROUND(MOD(MOD(K42,1)*60,1)*60,1)&amp;"""N"</f>
        <v>9°48'14.2"N</v>
      </c>
      <c r="P42" s="1" t="str">
        <f>INT(L42)&amp;"°"&amp;INT(MOD(L42,1)*60)&amp;"'"&amp;
ROUND(MOD(MOD(L42,1)*60,1)*60,1)&amp;"""E"</f>
        <v>106°11'48.2"E</v>
      </c>
      <c r="Q42" s="1" t="str">
        <f>O42 &amp; " " &amp; P42</f>
        <v>9°48'14.2"N 106°11'48.2"E</v>
      </c>
    </row>
    <row r="43" spans="1:17" ht="15.75" customHeight="1" x14ac:dyDescent="0.2">
      <c r="A43" s="1">
        <v>575</v>
      </c>
      <c r="B43" s="1" t="s">
        <v>2088</v>
      </c>
      <c r="C43" s="1" t="s">
        <v>15</v>
      </c>
      <c r="D43" s="1" t="s">
        <v>16</v>
      </c>
      <c r="E43" s="1" t="s">
        <v>2082</v>
      </c>
      <c r="F43" s="1" t="s">
        <v>2083</v>
      </c>
      <c r="G43" s="1" t="s">
        <v>2089</v>
      </c>
      <c r="H43" s="1" t="s">
        <v>2090</v>
      </c>
      <c r="I43" s="1" t="s">
        <v>21</v>
      </c>
      <c r="J43" s="1" t="s">
        <v>22</v>
      </c>
      <c r="K43" s="2">
        <v>9.8152804699999994</v>
      </c>
      <c r="L43" s="2">
        <v>105.94164252</v>
      </c>
      <c r="M43" s="1" t="s">
        <v>2091</v>
      </c>
      <c r="N43" s="1" t="s">
        <v>431</v>
      </c>
      <c r="O43" s="1" t="str">
        <f>INT(K43)&amp;"°"&amp;INT(MOD(K43,1)*60)&amp;"'"&amp;
ROUND(MOD(MOD(K43,1)*60,1)*60,1)&amp;"""N"</f>
        <v>9°48'55"N</v>
      </c>
      <c r="P43" s="1" t="str">
        <f>INT(L43)&amp;"°"&amp;INT(MOD(L43,1)*60)&amp;"'"&amp;
ROUND(MOD(MOD(L43,1)*60,1)*60,1)&amp;"""E"</f>
        <v>105°56'29.9"E</v>
      </c>
      <c r="Q43" s="1" t="str">
        <f>O43 &amp; " " &amp; P43</f>
        <v>9°48'55"N 105°56'29.9"E</v>
      </c>
    </row>
    <row r="44" spans="1:17" ht="15.75" customHeight="1" x14ac:dyDescent="0.2">
      <c r="A44" s="1">
        <v>361</v>
      </c>
      <c r="B44" s="1" t="s">
        <v>1325</v>
      </c>
      <c r="C44" s="1" t="s">
        <v>15</v>
      </c>
      <c r="D44" s="1" t="s">
        <v>16</v>
      </c>
      <c r="E44" s="1" t="s">
        <v>1326</v>
      </c>
      <c r="F44" s="1" t="s">
        <v>1327</v>
      </c>
      <c r="G44" s="1" t="s">
        <v>1328</v>
      </c>
      <c r="H44" s="1" t="s">
        <v>1329</v>
      </c>
      <c r="I44" s="1" t="s">
        <v>21</v>
      </c>
      <c r="J44" s="1" t="s">
        <v>22</v>
      </c>
      <c r="K44" s="2">
        <v>9.8218584500000006</v>
      </c>
      <c r="L44" s="2">
        <v>105.04612935999999</v>
      </c>
      <c r="M44" s="1" t="s">
        <v>1328</v>
      </c>
      <c r="N44" s="1" t="s">
        <v>18</v>
      </c>
      <c r="O44" s="1" t="str">
        <f>INT(K44)&amp;"°"&amp;INT(MOD(K44,1)*60)&amp;"'"&amp;
ROUND(MOD(MOD(K44,1)*60,1)*60,1)&amp;"""N"</f>
        <v>9°49'18.7"N</v>
      </c>
      <c r="P44" s="1" t="str">
        <f>INT(L44)&amp;"°"&amp;INT(MOD(L44,1)*60)&amp;"'"&amp;
ROUND(MOD(MOD(L44,1)*60,1)*60,1)&amp;"""E"</f>
        <v>105°2'46.1"E</v>
      </c>
      <c r="Q44" s="1" t="str">
        <f>O44 &amp; " " &amp; P44</f>
        <v>9°49'18.7"N 105°2'46.1"E</v>
      </c>
    </row>
    <row r="45" spans="1:17" ht="15.75" customHeight="1" x14ac:dyDescent="0.2">
      <c r="A45" s="1">
        <v>304</v>
      </c>
      <c r="B45" s="1" t="s">
        <v>1118</v>
      </c>
      <c r="C45" s="1" t="s">
        <v>15</v>
      </c>
      <c r="D45" s="1" t="s">
        <v>16</v>
      </c>
      <c r="E45" s="1" t="s">
        <v>1106</v>
      </c>
      <c r="F45" s="1" t="s">
        <v>1107</v>
      </c>
      <c r="G45" s="1" t="s">
        <v>1119</v>
      </c>
      <c r="H45" s="1" t="s">
        <v>1120</v>
      </c>
      <c r="I45" s="1" t="s">
        <v>53</v>
      </c>
      <c r="J45" s="1" t="s">
        <v>54</v>
      </c>
      <c r="K45" s="2">
        <v>9.8311058800000009</v>
      </c>
      <c r="L45" s="2">
        <v>105.82126235</v>
      </c>
      <c r="M45" s="1" t="s">
        <v>1121</v>
      </c>
      <c r="N45" s="1" t="s">
        <v>431</v>
      </c>
      <c r="O45" s="1" t="str">
        <f>INT(K45)&amp;"°"&amp;INT(MOD(K45,1)*60)&amp;"'"&amp;
ROUND(MOD(MOD(K45,1)*60,1)*60,1)&amp;"""N"</f>
        <v>9°49'52"N</v>
      </c>
      <c r="P45" s="1" t="str">
        <f>INT(L45)&amp;"°"&amp;INT(MOD(L45,1)*60)&amp;"'"&amp;
ROUND(MOD(MOD(L45,1)*60,1)*60,1)&amp;"""E"</f>
        <v>105°49'16.5"E</v>
      </c>
      <c r="Q45" s="1" t="str">
        <f>O45 &amp; " " &amp; P45</f>
        <v>9°49'52"N 105°49'16.5"E</v>
      </c>
    </row>
    <row r="46" spans="1:17" ht="15.75" customHeight="1" x14ac:dyDescent="0.2">
      <c r="A46" s="1">
        <v>670</v>
      </c>
      <c r="B46" s="1" t="s">
        <v>2422</v>
      </c>
      <c r="C46" s="1" t="s">
        <v>15</v>
      </c>
      <c r="D46" s="1" t="s">
        <v>16</v>
      </c>
      <c r="E46" s="1" t="s">
        <v>2417</v>
      </c>
      <c r="F46" s="1" t="s">
        <v>2418</v>
      </c>
      <c r="G46" s="1" t="s">
        <v>2423</v>
      </c>
      <c r="H46" s="1" t="s">
        <v>2424</v>
      </c>
      <c r="I46" s="1" t="s">
        <v>21</v>
      </c>
      <c r="J46" s="1" t="s">
        <v>22</v>
      </c>
      <c r="K46" s="2">
        <v>9.8673624899999997</v>
      </c>
      <c r="L46" s="2">
        <v>106.07245132</v>
      </c>
      <c r="M46" s="1" t="s">
        <v>2423</v>
      </c>
      <c r="N46" s="1" t="s">
        <v>221</v>
      </c>
      <c r="O46" s="1" t="str">
        <f>INT(K46)&amp;"°"&amp;INT(MOD(K46,1)*60)&amp;"'"&amp;
ROUND(MOD(MOD(K46,1)*60,1)*60,1)&amp;"""N"</f>
        <v>9°52'2.5"N</v>
      </c>
      <c r="P46" s="1" t="str">
        <f>INT(L46)&amp;"°"&amp;INT(MOD(L46,1)*60)&amp;"'"&amp;
ROUND(MOD(MOD(L46,1)*60,1)*60,1)&amp;"""E"</f>
        <v>106°4'20.8"E</v>
      </c>
      <c r="Q46" s="1" t="str">
        <f>O46 &amp; " " &amp; P46</f>
        <v>9°52'2.5"N 106°4'20.8"E</v>
      </c>
    </row>
    <row r="47" spans="1:17" ht="15.75" customHeight="1" x14ac:dyDescent="0.2">
      <c r="A47" s="1">
        <v>672</v>
      </c>
      <c r="B47" s="1" t="s">
        <v>2428</v>
      </c>
      <c r="C47" s="1" t="s">
        <v>15</v>
      </c>
      <c r="D47" s="1" t="s">
        <v>16</v>
      </c>
      <c r="E47" s="1" t="s">
        <v>2417</v>
      </c>
      <c r="F47" s="1" t="s">
        <v>2418</v>
      </c>
      <c r="G47" s="1" t="s">
        <v>35</v>
      </c>
      <c r="H47" s="1" t="s">
        <v>36</v>
      </c>
      <c r="I47" s="1" t="s">
        <v>21</v>
      </c>
      <c r="J47" s="1" t="s">
        <v>22</v>
      </c>
      <c r="K47" s="2">
        <v>9.874193</v>
      </c>
      <c r="L47" s="2">
        <v>106.39054093999999</v>
      </c>
      <c r="M47" s="1" t="s">
        <v>2429</v>
      </c>
      <c r="N47" s="1" t="s">
        <v>221</v>
      </c>
      <c r="O47" s="1" t="str">
        <f>INT(K47)&amp;"°"&amp;INT(MOD(K47,1)*60)&amp;"'"&amp;
ROUND(MOD(MOD(K47,1)*60,1)*60,1)&amp;"""N"</f>
        <v>9°52'27.1"N</v>
      </c>
      <c r="P47" s="1" t="str">
        <f>INT(L47)&amp;"°"&amp;INT(MOD(L47,1)*60)&amp;"'"&amp;
ROUND(MOD(MOD(L47,1)*60,1)*60,1)&amp;"""E"</f>
        <v>106°23'25.9"E</v>
      </c>
      <c r="Q47" s="1" t="str">
        <f>O47 &amp; " " &amp; P47</f>
        <v>9°52'27.1"N 106°23'25.9"E</v>
      </c>
    </row>
    <row r="48" spans="1:17" ht="15.75" customHeight="1" x14ac:dyDescent="0.2">
      <c r="A48" s="1">
        <v>365</v>
      </c>
      <c r="B48" s="1" t="s">
        <v>1337</v>
      </c>
      <c r="C48" s="1" t="s">
        <v>15</v>
      </c>
      <c r="D48" s="1" t="s">
        <v>16</v>
      </c>
      <c r="E48" s="1" t="s">
        <v>1326</v>
      </c>
      <c r="F48" s="1" t="s">
        <v>1327</v>
      </c>
      <c r="G48" s="1" t="s">
        <v>1338</v>
      </c>
      <c r="H48" s="1" t="s">
        <v>1339</v>
      </c>
      <c r="I48" s="1" t="s">
        <v>21</v>
      </c>
      <c r="J48" s="1" t="s">
        <v>22</v>
      </c>
      <c r="K48" s="2">
        <v>9.9112505300000002</v>
      </c>
      <c r="L48" s="2">
        <v>105.36716250000001</v>
      </c>
      <c r="M48" s="1" t="s">
        <v>1340</v>
      </c>
      <c r="N48" s="1" t="s">
        <v>18</v>
      </c>
      <c r="O48" s="1" t="str">
        <f>INT(K48)&amp;"°"&amp;INT(MOD(K48,1)*60)&amp;"'"&amp;
ROUND(MOD(MOD(K48,1)*60,1)*60,1)&amp;"""N"</f>
        <v>9°54'40.5"N</v>
      </c>
      <c r="P48" s="1" t="str">
        <f>INT(L48)&amp;"°"&amp;INT(MOD(L48,1)*60)&amp;"'"&amp;
ROUND(MOD(MOD(L48,1)*60,1)*60,1)&amp;"""E"</f>
        <v>105°22'1.8"E</v>
      </c>
      <c r="Q48" s="1" t="str">
        <f>O48 &amp; " " &amp; P48</f>
        <v>9°54'40.5"N 105°22'1.8"E</v>
      </c>
    </row>
    <row r="49" spans="1:17" ht="15.75" customHeight="1" x14ac:dyDescent="0.2">
      <c r="A49" s="1">
        <v>300</v>
      </c>
      <c r="B49" s="1" t="s">
        <v>1105</v>
      </c>
      <c r="C49" s="1" t="s">
        <v>15</v>
      </c>
      <c r="D49" s="1" t="s">
        <v>16</v>
      </c>
      <c r="E49" s="1" t="s">
        <v>1106</v>
      </c>
      <c r="F49" s="1" t="s">
        <v>1107</v>
      </c>
      <c r="G49" s="1" t="s">
        <v>35</v>
      </c>
      <c r="H49" s="1" t="s">
        <v>36</v>
      </c>
      <c r="I49" s="1" t="s">
        <v>21</v>
      </c>
      <c r="J49" s="1" t="s">
        <v>22</v>
      </c>
      <c r="K49" s="2">
        <v>9.9219787099999994</v>
      </c>
      <c r="L49" s="2">
        <v>105.81659715000001</v>
      </c>
      <c r="M49" s="1" t="s">
        <v>23</v>
      </c>
      <c r="N49" s="1" t="s">
        <v>431</v>
      </c>
      <c r="O49" s="1" t="str">
        <f>INT(K49)&amp;"°"&amp;INT(MOD(K49,1)*60)&amp;"'"&amp;
ROUND(MOD(MOD(K49,1)*60,1)*60,1)&amp;"""N"</f>
        <v>9°55'19.1"N</v>
      </c>
      <c r="P49" s="1" t="str">
        <f>INT(L49)&amp;"°"&amp;INT(MOD(L49,1)*60)&amp;"'"&amp;
ROUND(MOD(MOD(L49,1)*60,1)*60,1)&amp;"""E"</f>
        <v>105°48'59.7"E</v>
      </c>
      <c r="Q49" s="1" t="str">
        <f>O49 &amp; " " &amp; P49</f>
        <v>9°55'19.1"N 105°48'59.7"E</v>
      </c>
    </row>
    <row r="50" spans="1:17" ht="15.75" customHeight="1" x14ac:dyDescent="0.2">
      <c r="A50" s="1">
        <v>60</v>
      </c>
      <c r="B50" s="1" t="s">
        <v>245</v>
      </c>
      <c r="C50" s="1" t="s">
        <v>15</v>
      </c>
      <c r="D50" s="1" t="s">
        <v>16</v>
      </c>
      <c r="E50" s="1" t="s">
        <v>218</v>
      </c>
      <c r="F50" s="1" t="s">
        <v>219</v>
      </c>
      <c r="G50" s="1" t="s">
        <v>246</v>
      </c>
      <c r="H50" s="1" t="s">
        <v>247</v>
      </c>
      <c r="I50" s="1" t="s">
        <v>21</v>
      </c>
      <c r="J50" s="1" t="s">
        <v>22</v>
      </c>
      <c r="K50" s="2">
        <v>9.9281012000000004</v>
      </c>
      <c r="L50" s="2">
        <v>106.55097601</v>
      </c>
      <c r="M50" s="1" t="s">
        <v>248</v>
      </c>
      <c r="N50" s="1" t="s">
        <v>221</v>
      </c>
      <c r="O50" s="1" t="str">
        <f>INT(K50)&amp;"°"&amp;INT(MOD(K50,1)*60)&amp;"'"&amp;
ROUND(MOD(MOD(K50,1)*60,1)*60,1)&amp;"""N"</f>
        <v>9°55'41.2"N</v>
      </c>
      <c r="P50" s="1" t="str">
        <f>INT(L50)&amp;"°"&amp;INT(MOD(L50,1)*60)&amp;"'"&amp;
ROUND(MOD(MOD(L50,1)*60,1)*60,1)&amp;"""E"</f>
        <v>106°33'3.5"E</v>
      </c>
      <c r="Q50" s="1" t="str">
        <f>O50 &amp; " " &amp; P50</f>
        <v>9°55'41.2"N 106°33'3.5"E</v>
      </c>
    </row>
    <row r="51" spans="1:17" ht="15.75" customHeight="1" x14ac:dyDescent="0.2">
      <c r="A51" s="1">
        <v>301</v>
      </c>
      <c r="B51" s="1" t="s">
        <v>1108</v>
      </c>
      <c r="C51" s="1" t="s">
        <v>15</v>
      </c>
      <c r="D51" s="1" t="s">
        <v>16</v>
      </c>
      <c r="E51" s="1" t="s">
        <v>1106</v>
      </c>
      <c r="F51" s="1" t="s">
        <v>1107</v>
      </c>
      <c r="G51" s="1" t="s">
        <v>1109</v>
      </c>
      <c r="H51" s="1" t="s">
        <v>1110</v>
      </c>
      <c r="I51" s="1" t="s">
        <v>21</v>
      </c>
      <c r="J51" s="1" t="s">
        <v>22</v>
      </c>
      <c r="K51" s="2">
        <v>9.9302538699999996</v>
      </c>
      <c r="L51" s="2">
        <v>105.62917247999999</v>
      </c>
      <c r="M51" s="1" t="s">
        <v>1111</v>
      </c>
      <c r="N51" s="1" t="s">
        <v>431</v>
      </c>
      <c r="O51" s="1" t="str">
        <f>INT(K51)&amp;"°"&amp;INT(MOD(K51,1)*60)&amp;"'"&amp;
ROUND(MOD(MOD(K51,1)*60,1)*60,1)&amp;"""N"</f>
        <v>9°55'48.9"N</v>
      </c>
      <c r="P51" s="1" t="str">
        <f>INT(L51)&amp;"°"&amp;INT(MOD(L51,1)*60)&amp;"'"&amp;
ROUND(MOD(MOD(L51,1)*60,1)*60,1)&amp;"""E"</f>
        <v>105°37'45"E</v>
      </c>
      <c r="Q51" s="1" t="str">
        <f>O51 &amp; " " &amp; P51</f>
        <v>9°55'48.9"N 105°37'45"E</v>
      </c>
    </row>
    <row r="52" spans="1:17" ht="15.75" customHeight="1" x14ac:dyDescent="0.2">
      <c r="A52" s="1">
        <v>363</v>
      </c>
      <c r="B52" s="1" t="s">
        <v>1332</v>
      </c>
      <c r="C52" s="1" t="s">
        <v>15</v>
      </c>
      <c r="D52" s="1" t="s">
        <v>16</v>
      </c>
      <c r="E52" s="1" t="s">
        <v>1326</v>
      </c>
      <c r="F52" s="1" t="s">
        <v>1327</v>
      </c>
      <c r="G52" s="1" t="s">
        <v>35</v>
      </c>
      <c r="H52" s="1" t="s">
        <v>36</v>
      </c>
      <c r="I52" s="1" t="s">
        <v>21</v>
      </c>
      <c r="J52" s="1" t="s">
        <v>22</v>
      </c>
      <c r="K52" s="2">
        <v>9.9445251700000004</v>
      </c>
      <c r="L52" s="2">
        <v>105.16885612</v>
      </c>
      <c r="M52" s="1" t="s">
        <v>35</v>
      </c>
      <c r="N52" s="1" t="s">
        <v>18</v>
      </c>
      <c r="O52" s="1" t="str">
        <f>INT(K52)&amp;"°"&amp;INT(MOD(K52,1)*60)&amp;"'"&amp;
ROUND(MOD(MOD(K52,1)*60,1)*60,1)&amp;"""N"</f>
        <v>9°56'40.3"N</v>
      </c>
      <c r="P52" s="1" t="str">
        <f>INT(L52)&amp;"°"&amp;INT(MOD(L52,1)*60)&amp;"'"&amp;
ROUND(MOD(MOD(L52,1)*60,1)*60,1)&amp;"""E"</f>
        <v>105°10'7.9"E</v>
      </c>
      <c r="Q52" s="1" t="str">
        <f>O52 &amp; " " &amp; P52</f>
        <v>9°56'40.3"N 105°10'7.9"E</v>
      </c>
    </row>
    <row r="53" spans="1:17" ht="15.75" customHeight="1" x14ac:dyDescent="0.2">
      <c r="A53" s="1">
        <v>677</v>
      </c>
      <c r="B53" s="1" t="s">
        <v>2442</v>
      </c>
      <c r="C53" s="1" t="s">
        <v>15</v>
      </c>
      <c r="D53" s="1" t="s">
        <v>16</v>
      </c>
      <c r="E53" s="1" t="s">
        <v>2417</v>
      </c>
      <c r="F53" s="1" t="s">
        <v>2418</v>
      </c>
      <c r="G53" s="1" t="s">
        <v>2418</v>
      </c>
      <c r="H53" s="1" t="s">
        <v>2443</v>
      </c>
      <c r="I53" s="1" t="s">
        <v>27</v>
      </c>
      <c r="J53" s="1" t="s">
        <v>28</v>
      </c>
      <c r="K53" s="2">
        <v>9.9544012199999994</v>
      </c>
      <c r="L53" s="2">
        <v>106.33747104</v>
      </c>
      <c r="M53" s="1" t="s">
        <v>2444</v>
      </c>
      <c r="N53" s="1" t="s">
        <v>221</v>
      </c>
      <c r="O53" s="1" t="str">
        <f>INT(K53)&amp;"°"&amp;INT(MOD(K53,1)*60)&amp;"'"&amp;
ROUND(MOD(MOD(K53,1)*60,1)*60,1)&amp;"""N"</f>
        <v>9°57'15.8"N</v>
      </c>
      <c r="P53" s="1" t="str">
        <f>INT(L53)&amp;"°"&amp;INT(MOD(L53,1)*60)&amp;"'"&amp;
ROUND(MOD(MOD(L53,1)*60,1)*60,1)&amp;"""E"</f>
        <v>106°20'14.9"E</v>
      </c>
      <c r="Q53" s="1" t="str">
        <f>O53 &amp; " " &amp; P53</f>
        <v>9°57'15.8"N 106°20'14.9"E</v>
      </c>
    </row>
    <row r="54" spans="1:17" ht="15.75" customHeight="1" x14ac:dyDescent="0.2">
      <c r="A54" s="1">
        <v>669</v>
      </c>
      <c r="B54" s="1" t="s">
        <v>2416</v>
      </c>
      <c r="C54" s="1" t="s">
        <v>15</v>
      </c>
      <c r="D54" s="1" t="s">
        <v>16</v>
      </c>
      <c r="E54" s="1" t="s">
        <v>2417</v>
      </c>
      <c r="F54" s="1" t="s">
        <v>2418</v>
      </c>
      <c r="G54" s="1" t="s">
        <v>2419</v>
      </c>
      <c r="H54" s="1" t="s">
        <v>2420</v>
      </c>
      <c r="I54" s="1" t="s">
        <v>21</v>
      </c>
      <c r="J54" s="1" t="s">
        <v>22</v>
      </c>
      <c r="K54" s="2">
        <v>9.9699763499999996</v>
      </c>
      <c r="L54" s="2">
        <v>106.21537422999999</v>
      </c>
      <c r="M54" s="1" t="s">
        <v>2421</v>
      </c>
      <c r="N54" s="1" t="s">
        <v>221</v>
      </c>
      <c r="O54" s="1" t="str">
        <f>INT(K54)&amp;"°"&amp;INT(MOD(K54,1)*60)&amp;"'"&amp;
ROUND(MOD(MOD(K54,1)*60,1)*60,1)&amp;"""N"</f>
        <v>9°58'11.9"N</v>
      </c>
      <c r="P54" s="1" t="str">
        <f>INT(L54)&amp;"°"&amp;INT(MOD(L54,1)*60)&amp;"'"&amp;
ROUND(MOD(MOD(L54,1)*60,1)*60,1)&amp;"""E"</f>
        <v>106°12'55.3"E</v>
      </c>
      <c r="Q54" s="1" t="str">
        <f>O54 &amp; " " &amp; P54</f>
        <v>9°58'11.9"N 106°12'55.3"E</v>
      </c>
    </row>
    <row r="55" spans="1:17" ht="15.75" customHeight="1" x14ac:dyDescent="0.2">
      <c r="A55" s="1">
        <v>690</v>
      </c>
      <c r="B55" s="1" t="s">
        <v>2487</v>
      </c>
      <c r="C55" s="1" t="s">
        <v>15</v>
      </c>
      <c r="D55" s="1" t="s">
        <v>16</v>
      </c>
      <c r="E55" s="1" t="s">
        <v>2471</v>
      </c>
      <c r="F55" s="1" t="s">
        <v>221</v>
      </c>
      <c r="G55" s="1" t="s">
        <v>2488</v>
      </c>
      <c r="H55" s="1" t="s">
        <v>2489</v>
      </c>
      <c r="I55" s="1" t="s">
        <v>21</v>
      </c>
      <c r="J55" s="1" t="s">
        <v>22</v>
      </c>
      <c r="K55" s="2">
        <v>9.9871009999999991</v>
      </c>
      <c r="L55" s="2">
        <v>105.99905172</v>
      </c>
      <c r="M55" s="1" t="s">
        <v>2490</v>
      </c>
      <c r="N55" s="1" t="s">
        <v>221</v>
      </c>
      <c r="O55" s="1" t="str">
        <f>INT(K55)&amp;"°"&amp;INT(MOD(K55,1)*60)&amp;"'"&amp;
ROUND(MOD(MOD(K55,1)*60,1)*60,1)&amp;"""N"</f>
        <v>9°59'13.6"N</v>
      </c>
      <c r="P55" s="1" t="str">
        <f>INT(L55)&amp;"°"&amp;INT(MOD(L55,1)*60)&amp;"'"&amp;
ROUND(MOD(MOD(L55,1)*60,1)*60,1)&amp;"""E"</f>
        <v>105°59'56.6"E</v>
      </c>
      <c r="Q55" s="1" t="str">
        <f>O55 &amp; " " &amp; P55</f>
        <v>9°59'13.6"N 105°59'56.6"E</v>
      </c>
    </row>
    <row r="56" spans="1:17" ht="15.75" customHeight="1" x14ac:dyDescent="0.2">
      <c r="A56" s="1">
        <v>112</v>
      </c>
      <c r="B56" s="1" t="s">
        <v>437</v>
      </c>
      <c r="C56" s="1" t="s">
        <v>15</v>
      </c>
      <c r="D56" s="1" t="s">
        <v>16</v>
      </c>
      <c r="E56" s="1" t="s">
        <v>430</v>
      </c>
      <c r="F56" s="1" t="s">
        <v>431</v>
      </c>
      <c r="G56" s="1" t="s">
        <v>438</v>
      </c>
      <c r="H56" s="1" t="s">
        <v>439</v>
      </c>
      <c r="I56" s="1" t="s">
        <v>434</v>
      </c>
      <c r="J56" s="1" t="s">
        <v>435</v>
      </c>
      <c r="K56" s="2">
        <v>9.9911238099999995</v>
      </c>
      <c r="L56" s="2">
        <v>105.78672134</v>
      </c>
      <c r="M56" s="1" t="s">
        <v>438</v>
      </c>
      <c r="N56" s="1" t="s">
        <v>431</v>
      </c>
      <c r="O56" s="1" t="str">
        <f>INT(K56)&amp;"°"&amp;INT(MOD(K56,1)*60)&amp;"'"&amp;
ROUND(MOD(MOD(K56,1)*60,1)*60,1)&amp;"""N"</f>
        <v>9°59'28"N</v>
      </c>
      <c r="P56" s="1" t="str">
        <f>INT(L56)&amp;"°"&amp;INT(MOD(L56,1)*60)&amp;"'"&amp;
ROUND(MOD(MOD(L56,1)*60,1)*60,1)&amp;"""E"</f>
        <v>105°47'12.2"E</v>
      </c>
      <c r="Q56" s="1" t="str">
        <f>O56 &amp; " " &amp; P56</f>
        <v>9°59'28"N 105°47'12.2"E</v>
      </c>
    </row>
    <row r="57" spans="1:17" ht="15.75" customHeight="1" x14ac:dyDescent="0.2">
      <c r="A57" s="1">
        <v>116</v>
      </c>
      <c r="B57" s="1" t="s">
        <v>449</v>
      </c>
      <c r="C57" s="1" t="s">
        <v>15</v>
      </c>
      <c r="D57" s="1" t="s">
        <v>16</v>
      </c>
      <c r="E57" s="1" t="s">
        <v>430</v>
      </c>
      <c r="F57" s="1" t="s">
        <v>431</v>
      </c>
      <c r="G57" s="1" t="s">
        <v>450</v>
      </c>
      <c r="H57" s="1" t="s">
        <v>451</v>
      </c>
      <c r="I57" s="1" t="s">
        <v>21</v>
      </c>
      <c r="J57" s="1" t="s">
        <v>22</v>
      </c>
      <c r="K57" s="2">
        <v>9.9983214</v>
      </c>
      <c r="L57" s="2">
        <v>105.66314059</v>
      </c>
      <c r="M57" s="1" t="s">
        <v>450</v>
      </c>
      <c r="N57" s="1" t="s">
        <v>431</v>
      </c>
      <c r="O57" s="1" t="str">
        <f>INT(K57)&amp;"°"&amp;INT(MOD(K57,1)*60)&amp;"'"&amp;
ROUND(MOD(MOD(K57,1)*60,1)*60,1)&amp;"""N"</f>
        <v>9°59'54"N</v>
      </c>
      <c r="P57" s="1" t="str">
        <f>INT(L57)&amp;"°"&amp;INT(MOD(L57,1)*60)&amp;"'"&amp;
ROUND(MOD(MOD(L57,1)*60,1)*60,1)&amp;"""E"</f>
        <v>105°39'47.3"E</v>
      </c>
      <c r="Q57" s="1" t="str">
        <f>O57 &amp; " " &amp; P57</f>
        <v>9°59'54"N 105°39'47.3"E</v>
      </c>
    </row>
    <row r="58" spans="1:17" ht="15.75" customHeight="1" x14ac:dyDescent="0.2">
      <c r="A58" s="1">
        <v>117</v>
      </c>
      <c r="B58" s="1" t="s">
        <v>452</v>
      </c>
      <c r="C58" s="1" t="s">
        <v>15</v>
      </c>
      <c r="D58" s="1" t="s">
        <v>16</v>
      </c>
      <c r="E58" s="1" t="s">
        <v>430</v>
      </c>
      <c r="F58" s="1" t="s">
        <v>431</v>
      </c>
      <c r="G58" s="1" t="s">
        <v>453</v>
      </c>
      <c r="H58" s="1" t="s">
        <v>454</v>
      </c>
      <c r="I58" s="1" t="s">
        <v>21</v>
      </c>
      <c r="J58" s="1" t="s">
        <v>22</v>
      </c>
      <c r="K58" s="2">
        <v>10.03061817</v>
      </c>
      <c r="L58" s="2">
        <v>105.53854063</v>
      </c>
      <c r="M58" s="1" t="s">
        <v>453</v>
      </c>
      <c r="N58" s="1" t="s">
        <v>431</v>
      </c>
      <c r="O58" s="1" t="str">
        <f>INT(K58)&amp;"°"&amp;INT(MOD(K58,1)*60)&amp;"'"&amp;
ROUND(MOD(MOD(K58,1)*60,1)*60,1)&amp;"""N"</f>
        <v>10°1'50.2"N</v>
      </c>
      <c r="P58" s="1" t="str">
        <f>INT(L58)&amp;"°"&amp;INT(MOD(L58,1)*60)&amp;"'"&amp;
ROUND(MOD(MOD(L58,1)*60,1)*60,1)&amp;"""E"</f>
        <v>105°32'18.7"E</v>
      </c>
      <c r="Q58" s="1" t="str">
        <f>O58 &amp; " " &amp; P58</f>
        <v>10°1'50.2"N 105°32'18.7"E</v>
      </c>
    </row>
    <row r="59" spans="1:17" ht="15.75" customHeight="1" x14ac:dyDescent="0.2">
      <c r="A59" s="1">
        <v>114</v>
      </c>
      <c r="B59" s="1" t="s">
        <v>443</v>
      </c>
      <c r="C59" s="1" t="s">
        <v>15</v>
      </c>
      <c r="D59" s="1" t="s">
        <v>16</v>
      </c>
      <c r="E59" s="1" t="s">
        <v>430</v>
      </c>
      <c r="F59" s="1" t="s">
        <v>431</v>
      </c>
      <c r="G59" s="1" t="s">
        <v>444</v>
      </c>
      <c r="H59" s="1" t="s">
        <v>445</v>
      </c>
      <c r="I59" s="1" t="s">
        <v>434</v>
      </c>
      <c r="J59" s="1" t="s">
        <v>435</v>
      </c>
      <c r="K59" s="2">
        <v>10.030775820000001</v>
      </c>
      <c r="L59" s="2">
        <v>105.76436699999999</v>
      </c>
      <c r="M59" s="1" t="s">
        <v>444</v>
      </c>
      <c r="N59" s="1" t="s">
        <v>431</v>
      </c>
      <c r="O59" s="1" t="str">
        <f>INT(K59)&amp;"°"&amp;INT(MOD(K59,1)*60)&amp;"'"&amp;
ROUND(MOD(MOD(K59,1)*60,1)*60,1)&amp;"""N"</f>
        <v>10°1'50.8"N</v>
      </c>
      <c r="P59" s="1" t="str">
        <f>INT(L59)&amp;"°"&amp;INT(MOD(L59,1)*60)&amp;"'"&amp;
ROUND(MOD(MOD(L59,1)*60,1)*60,1)&amp;"""E"</f>
        <v>105°45'51.7"E</v>
      </c>
      <c r="Q59" s="1" t="str">
        <f>O59 &amp; " " &amp; P59</f>
        <v>10°1'50.8"N 105°45'51.7"E</v>
      </c>
    </row>
    <row r="60" spans="1:17" ht="15.75" customHeight="1" x14ac:dyDescent="0.2">
      <c r="A60" s="1">
        <v>372</v>
      </c>
      <c r="B60" s="1" t="s">
        <v>1360</v>
      </c>
      <c r="C60" s="1" t="s">
        <v>15</v>
      </c>
      <c r="D60" s="1" t="s">
        <v>16</v>
      </c>
      <c r="E60" s="1" t="s">
        <v>1326</v>
      </c>
      <c r="F60" s="1" t="s">
        <v>1327</v>
      </c>
      <c r="G60" s="1" t="s">
        <v>1361</v>
      </c>
      <c r="H60" s="1" t="s">
        <v>1362</v>
      </c>
      <c r="I60" s="1" t="s">
        <v>27</v>
      </c>
      <c r="J60" s="1" t="s">
        <v>28</v>
      </c>
      <c r="K60" s="2">
        <v>10.0335085</v>
      </c>
      <c r="L60" s="2">
        <v>105.10854808000001</v>
      </c>
      <c r="M60" s="1" t="s">
        <v>1363</v>
      </c>
      <c r="N60" s="1" t="s">
        <v>18</v>
      </c>
      <c r="O60" s="1" t="str">
        <f>INT(K60)&amp;"°"&amp;INT(MOD(K60,1)*60)&amp;"'"&amp;
ROUND(MOD(MOD(K60,1)*60,1)*60,1)&amp;"""N"</f>
        <v>10°2'0.6"N</v>
      </c>
      <c r="P60" s="1" t="str">
        <f>INT(L60)&amp;"°"&amp;INT(MOD(L60,1)*60)&amp;"'"&amp;
ROUND(MOD(MOD(L60,1)*60,1)*60,1)&amp;"""E"</f>
        <v>105°6'30.8"E</v>
      </c>
      <c r="Q60" s="1" t="str">
        <f>O60 &amp; " " &amp; P60</f>
        <v>10°2'0.6"N 105°6'30.8"E</v>
      </c>
    </row>
    <row r="61" spans="1:17" ht="15.75" customHeight="1" x14ac:dyDescent="0.2">
      <c r="A61" s="1">
        <v>685</v>
      </c>
      <c r="B61" s="1" t="s">
        <v>2470</v>
      </c>
      <c r="C61" s="1" t="s">
        <v>15</v>
      </c>
      <c r="D61" s="1" t="s">
        <v>16</v>
      </c>
      <c r="E61" s="1" t="s">
        <v>2471</v>
      </c>
      <c r="F61" s="1" t="s">
        <v>221</v>
      </c>
      <c r="G61" s="1" t="s">
        <v>2185</v>
      </c>
      <c r="H61" s="1" t="s">
        <v>2472</v>
      </c>
      <c r="I61" s="1" t="s">
        <v>53</v>
      </c>
      <c r="J61" s="1" t="s">
        <v>54</v>
      </c>
      <c r="K61" s="2">
        <v>10.04612987</v>
      </c>
      <c r="L61" s="2">
        <v>105.84339835999999</v>
      </c>
      <c r="M61" s="1" t="s">
        <v>1581</v>
      </c>
      <c r="N61" s="1" t="s">
        <v>221</v>
      </c>
      <c r="O61" s="1" t="str">
        <f>INT(K61)&amp;"°"&amp;INT(MOD(K61,1)*60)&amp;"'"&amp;
ROUND(MOD(MOD(K61,1)*60,1)*60,1)&amp;"""N"</f>
        <v>10°2'46.1"N</v>
      </c>
      <c r="P61" s="1" t="str">
        <f>INT(L61)&amp;"°"&amp;INT(MOD(L61,1)*60)&amp;"'"&amp;
ROUND(MOD(MOD(L61,1)*60,1)*60,1)&amp;"""E"</f>
        <v>105°50'36.2"E</v>
      </c>
      <c r="Q61" s="1" t="str">
        <f>O61 &amp; " " &amp; P61</f>
        <v>10°2'46.1"N 105°50'36.2"E</v>
      </c>
    </row>
    <row r="62" spans="1:17" ht="15.75" customHeight="1" x14ac:dyDescent="0.2">
      <c r="A62" s="1">
        <v>52</v>
      </c>
      <c r="B62" s="1" t="s">
        <v>217</v>
      </c>
      <c r="C62" s="1" t="s">
        <v>15</v>
      </c>
      <c r="D62" s="1" t="s">
        <v>16</v>
      </c>
      <c r="E62" s="1" t="s">
        <v>218</v>
      </c>
      <c r="F62" s="1" t="s">
        <v>219</v>
      </c>
      <c r="G62" s="1" t="s">
        <v>220</v>
      </c>
      <c r="H62" s="1" t="s">
        <v>220</v>
      </c>
      <c r="I62" s="1" t="s">
        <v>21</v>
      </c>
      <c r="J62" s="1" t="s">
        <v>22</v>
      </c>
      <c r="K62" s="2">
        <v>10.0631159</v>
      </c>
      <c r="L62" s="2">
        <v>106.59576631</v>
      </c>
      <c r="M62" s="1" t="s">
        <v>220</v>
      </c>
      <c r="N62" s="1" t="s">
        <v>221</v>
      </c>
      <c r="O62" s="1" t="str">
        <f>INT(K62)&amp;"°"&amp;INT(MOD(K62,1)*60)&amp;"'"&amp;
ROUND(MOD(MOD(K62,1)*60,1)*60,1)&amp;"""N"</f>
        <v>10°3'47.2"N</v>
      </c>
      <c r="P62" s="1" t="str">
        <f>INT(L62)&amp;"°"&amp;INT(MOD(L62,1)*60)&amp;"'"&amp;
ROUND(MOD(MOD(L62,1)*60,1)*60,1)&amp;"""E"</f>
        <v>106°35'44.8"E</v>
      </c>
      <c r="Q62" s="1" t="str">
        <f>O62 &amp; " " &amp; P62</f>
        <v>10°3'47.2"N 106°35'44.8"E</v>
      </c>
    </row>
    <row r="63" spans="1:17" ht="15.75" customHeight="1" x14ac:dyDescent="0.2">
      <c r="A63" s="1">
        <v>111</v>
      </c>
      <c r="B63" s="1" t="s">
        <v>429</v>
      </c>
      <c r="C63" s="1" t="s">
        <v>15</v>
      </c>
      <c r="D63" s="1" t="s">
        <v>16</v>
      </c>
      <c r="E63" s="1" t="s">
        <v>430</v>
      </c>
      <c r="F63" s="1" t="s">
        <v>431</v>
      </c>
      <c r="G63" s="1" t="s">
        <v>432</v>
      </c>
      <c r="H63" s="1" t="s">
        <v>433</v>
      </c>
      <c r="I63" s="1" t="s">
        <v>434</v>
      </c>
      <c r="J63" s="1" t="s">
        <v>435</v>
      </c>
      <c r="K63" s="2">
        <v>10.06337555</v>
      </c>
      <c r="L63" s="2">
        <v>105.72327747999999</v>
      </c>
      <c r="M63" s="1" t="s">
        <v>436</v>
      </c>
      <c r="N63" s="1" t="s">
        <v>431</v>
      </c>
      <c r="O63" s="1" t="str">
        <f>INT(K63)&amp;"°"&amp;INT(MOD(K63,1)*60)&amp;"'"&amp;
ROUND(MOD(MOD(K63,1)*60,1)*60,1)&amp;"""N"</f>
        <v>10°3'48.2"N</v>
      </c>
      <c r="P63" s="1" t="str">
        <f>INT(L63)&amp;"°"&amp;INT(MOD(L63,1)*60)&amp;"'"&amp;
ROUND(MOD(MOD(L63,1)*60,1)*60,1)&amp;"""E"</f>
        <v>105°43'23.8"E</v>
      </c>
      <c r="Q63" s="1" t="str">
        <f>O63 &amp; " " &amp; P63</f>
        <v>10°3'48.2"N 105°43'23.8"E</v>
      </c>
    </row>
    <row r="64" spans="1:17" ht="15.75" customHeight="1" x14ac:dyDescent="0.2">
      <c r="A64" s="1">
        <v>59</v>
      </c>
      <c r="B64" s="1" t="s">
        <v>241</v>
      </c>
      <c r="C64" s="1" t="s">
        <v>15</v>
      </c>
      <c r="D64" s="1" t="s">
        <v>16</v>
      </c>
      <c r="E64" s="1" t="s">
        <v>218</v>
      </c>
      <c r="F64" s="1" t="s">
        <v>219</v>
      </c>
      <c r="G64" s="1" t="s">
        <v>242</v>
      </c>
      <c r="H64" s="1" t="s">
        <v>243</v>
      </c>
      <c r="I64" s="1" t="s">
        <v>21</v>
      </c>
      <c r="J64" s="1" t="s">
        <v>22</v>
      </c>
      <c r="K64" s="2">
        <v>10.06965317</v>
      </c>
      <c r="L64" s="2">
        <v>106.35831482</v>
      </c>
      <c r="M64" s="1" t="s">
        <v>244</v>
      </c>
      <c r="N64" s="1" t="s">
        <v>221</v>
      </c>
      <c r="O64" s="1" t="str">
        <f>INT(K64)&amp;"°"&amp;INT(MOD(K64,1)*60)&amp;"'"&amp;
ROUND(MOD(MOD(K64,1)*60,1)*60,1)&amp;"""N"</f>
        <v>10°4'10.8"N</v>
      </c>
      <c r="P64" s="1" t="str">
        <f>INT(L64)&amp;"°"&amp;INT(MOD(L64,1)*60)&amp;"'"&amp;
ROUND(MOD(MOD(L64,1)*60,1)*60,1)&amp;"""E"</f>
        <v>106°21'29.9"E</v>
      </c>
      <c r="Q64" s="1" t="str">
        <f>O64 &amp; " " &amp; P64</f>
        <v>10°4'10.8"N 106°21'29.9"E</v>
      </c>
    </row>
    <row r="65" spans="1:17" ht="15.75" customHeight="1" x14ac:dyDescent="0.2">
      <c r="A65" s="1">
        <v>692</v>
      </c>
      <c r="B65" s="1" t="s">
        <v>2494</v>
      </c>
      <c r="C65" s="1" t="s">
        <v>15</v>
      </c>
      <c r="D65" s="1" t="s">
        <v>16</v>
      </c>
      <c r="E65" s="1" t="s">
        <v>2471</v>
      </c>
      <c r="F65" s="1" t="s">
        <v>221</v>
      </c>
      <c r="G65" s="1" t="s">
        <v>2495</v>
      </c>
      <c r="H65" s="1" t="s">
        <v>2496</v>
      </c>
      <c r="I65" s="1" t="s">
        <v>21</v>
      </c>
      <c r="J65" s="1" t="s">
        <v>22</v>
      </c>
      <c r="K65" s="2">
        <v>10.075572680000001</v>
      </c>
      <c r="L65" s="2">
        <v>106.15567658000001</v>
      </c>
      <c r="M65" s="1" t="s">
        <v>2497</v>
      </c>
      <c r="N65" s="1" t="s">
        <v>221</v>
      </c>
      <c r="O65" s="1" t="str">
        <f>INT(K65)&amp;"°"&amp;INT(MOD(K65,1)*60)&amp;"'"&amp;
ROUND(MOD(MOD(K65,1)*60,1)*60,1)&amp;"""N"</f>
        <v>10°4'32.1"N</v>
      </c>
      <c r="P65" s="1" t="str">
        <f>INT(L65)&amp;"°"&amp;INT(MOD(L65,1)*60)&amp;"'"&amp;
ROUND(MOD(MOD(L65,1)*60,1)*60,1)&amp;"""E"</f>
        <v>106°9'20.4"E</v>
      </c>
      <c r="Q65" s="1" t="str">
        <f>O65 &amp; " " &amp; P65</f>
        <v>10°4'32.1"N 106°9'20.4"E</v>
      </c>
    </row>
    <row r="66" spans="1:17" ht="15.75" customHeight="1" x14ac:dyDescent="0.2">
      <c r="A66" s="1">
        <v>689</v>
      </c>
      <c r="B66" s="1" t="s">
        <v>2483</v>
      </c>
      <c r="C66" s="1" t="s">
        <v>15</v>
      </c>
      <c r="D66" s="1" t="s">
        <v>16</v>
      </c>
      <c r="E66" s="1" t="s">
        <v>2471</v>
      </c>
      <c r="F66" s="1" t="s">
        <v>221</v>
      </c>
      <c r="G66" s="1" t="s">
        <v>2484</v>
      </c>
      <c r="H66" s="1" t="s">
        <v>2485</v>
      </c>
      <c r="I66" s="1" t="s">
        <v>21</v>
      </c>
      <c r="J66" s="1" t="s">
        <v>22</v>
      </c>
      <c r="K66" s="2">
        <v>10.08037283</v>
      </c>
      <c r="L66" s="2">
        <v>105.94862895</v>
      </c>
      <c r="M66" s="1" t="s">
        <v>2486</v>
      </c>
      <c r="N66" s="1" t="s">
        <v>221</v>
      </c>
      <c r="O66" s="1" t="str">
        <f>INT(K66)&amp;"°"&amp;INT(MOD(K66,1)*60)&amp;"'"&amp;
ROUND(MOD(MOD(K66,1)*60,1)*60,1)&amp;"""N"</f>
        <v>10°4'49.3"N</v>
      </c>
      <c r="P66" s="1" t="str">
        <f>INT(L66)&amp;"°"&amp;INT(MOD(L66,1)*60)&amp;"'"&amp;
ROUND(MOD(MOD(L66,1)*60,1)*60,1)&amp;"""E"</f>
        <v>105°56'55.1"E</v>
      </c>
      <c r="Q66" s="1" t="str">
        <f>O66 &amp; " " &amp; P66</f>
        <v>10°4'49.3"N 105°56'55.1"E</v>
      </c>
    </row>
    <row r="67" spans="1:17" ht="15.75" customHeight="1" x14ac:dyDescent="0.2">
      <c r="A67" s="1">
        <v>373</v>
      </c>
      <c r="B67" s="1" t="s">
        <v>1364</v>
      </c>
      <c r="C67" s="1" t="s">
        <v>15</v>
      </c>
      <c r="D67" s="1" t="s">
        <v>16</v>
      </c>
      <c r="E67" s="1" t="s">
        <v>1326</v>
      </c>
      <c r="F67" s="1" t="s">
        <v>1327</v>
      </c>
      <c r="G67" s="1" t="s">
        <v>316</v>
      </c>
      <c r="H67" s="1" t="s">
        <v>1365</v>
      </c>
      <c r="I67" s="1" t="s">
        <v>21</v>
      </c>
      <c r="J67" s="1" t="s">
        <v>22</v>
      </c>
      <c r="K67" s="2">
        <v>10.09163558</v>
      </c>
      <c r="L67" s="2">
        <v>105.24293120999999</v>
      </c>
      <c r="M67" s="1" t="s">
        <v>1366</v>
      </c>
      <c r="N67" s="1" t="s">
        <v>18</v>
      </c>
      <c r="O67" s="1" t="str">
        <f>INT(K67)&amp;"°"&amp;INT(MOD(K67,1)*60)&amp;"'"&amp;
ROUND(MOD(MOD(K67,1)*60,1)*60,1)&amp;"""N"</f>
        <v>10°5'29.9"N</v>
      </c>
      <c r="P67" s="1" t="str">
        <f>INT(L67)&amp;"°"&amp;INT(MOD(L67,1)*60)&amp;"'"&amp;
ROUND(MOD(MOD(L67,1)*60,1)*60,1)&amp;"""E"</f>
        <v>105°14'34.6"E</v>
      </c>
      <c r="Q67" s="1" t="str">
        <f>O67 &amp; " " &amp; P67</f>
        <v>10°5'29.9"N 105°14'34.6"E</v>
      </c>
    </row>
    <row r="68" spans="1:17" ht="15.75" customHeight="1" x14ac:dyDescent="0.2">
      <c r="A68" s="1">
        <v>115</v>
      </c>
      <c r="B68" s="1" t="s">
        <v>446</v>
      </c>
      <c r="C68" s="1" t="s">
        <v>15</v>
      </c>
      <c r="D68" s="1" t="s">
        <v>16</v>
      </c>
      <c r="E68" s="1" t="s">
        <v>430</v>
      </c>
      <c r="F68" s="1" t="s">
        <v>431</v>
      </c>
      <c r="G68" s="1" t="s">
        <v>447</v>
      </c>
      <c r="H68" s="1" t="s">
        <v>448</v>
      </c>
      <c r="I68" s="1" t="s">
        <v>434</v>
      </c>
      <c r="J68" s="1" t="s">
        <v>435</v>
      </c>
      <c r="K68" s="2">
        <v>10.126812299999999</v>
      </c>
      <c r="L68" s="2">
        <v>105.63318757</v>
      </c>
      <c r="M68" s="1" t="s">
        <v>447</v>
      </c>
      <c r="N68" s="1" t="s">
        <v>431</v>
      </c>
      <c r="O68" s="1" t="str">
        <f>INT(K68)&amp;"°"&amp;INT(MOD(K68,1)*60)&amp;"'"&amp;
ROUND(MOD(MOD(K68,1)*60,1)*60,1)&amp;"""N"</f>
        <v>10°7'36.5"N</v>
      </c>
      <c r="P68" s="1" t="str">
        <f>INT(L68)&amp;"°"&amp;INT(MOD(L68,1)*60)&amp;"'"&amp;
ROUND(MOD(MOD(L68,1)*60,1)*60,1)&amp;"""E"</f>
        <v>105°37'59.5"E</v>
      </c>
      <c r="Q68" s="1" t="str">
        <f>O68 &amp; " " &amp; P68</f>
        <v>10°7'36.5"N 105°37'59.5"E</v>
      </c>
    </row>
    <row r="69" spans="1:17" ht="15.75" customHeight="1" x14ac:dyDescent="0.2">
      <c r="A69" s="1">
        <v>113</v>
      </c>
      <c r="B69" s="1" t="s">
        <v>440</v>
      </c>
      <c r="C69" s="1" t="s">
        <v>15</v>
      </c>
      <c r="D69" s="1" t="s">
        <v>16</v>
      </c>
      <c r="E69" s="1" t="s">
        <v>430</v>
      </c>
      <c r="F69" s="1" t="s">
        <v>431</v>
      </c>
      <c r="G69" s="1" t="s">
        <v>441</v>
      </c>
      <c r="H69" s="1" t="s">
        <v>442</v>
      </c>
      <c r="I69" s="1" t="s">
        <v>21</v>
      </c>
      <c r="J69" s="1" t="s">
        <v>22</v>
      </c>
      <c r="K69" s="2">
        <v>10.12690729</v>
      </c>
      <c r="L69" s="2">
        <v>105.46072583</v>
      </c>
      <c r="M69" s="1" t="s">
        <v>246</v>
      </c>
      <c r="N69" s="1" t="s">
        <v>431</v>
      </c>
      <c r="O69" s="1" t="str">
        <f>INT(K69)&amp;"°"&amp;INT(MOD(K69,1)*60)&amp;"'"&amp;
ROUND(MOD(MOD(K69,1)*60,1)*60,1)&amp;"""N"</f>
        <v>10°7'36.9"N</v>
      </c>
      <c r="P69" s="1" t="str">
        <f>INT(L69)&amp;"°"&amp;INT(MOD(L69,1)*60)&amp;"'"&amp;
ROUND(MOD(MOD(L69,1)*60,1)*60,1)&amp;"""E"</f>
        <v>105°27'38.6"E</v>
      </c>
      <c r="Q69" s="1" t="str">
        <f>O69 &amp; " " &amp; P69</f>
        <v>10°7'36.9"N 105°27'38.6"E</v>
      </c>
    </row>
    <row r="70" spans="1:17" ht="15.75" customHeight="1" x14ac:dyDescent="0.2">
      <c r="A70" s="1">
        <v>686</v>
      </c>
      <c r="B70" s="1" t="s">
        <v>2473</v>
      </c>
      <c r="C70" s="1" t="s">
        <v>15</v>
      </c>
      <c r="D70" s="1" t="s">
        <v>16</v>
      </c>
      <c r="E70" s="1" t="s">
        <v>2471</v>
      </c>
      <c r="F70" s="1" t="s">
        <v>221</v>
      </c>
      <c r="G70" s="1" t="s">
        <v>1138</v>
      </c>
      <c r="H70" s="1" t="s">
        <v>1139</v>
      </c>
      <c r="I70" s="1" t="s">
        <v>21</v>
      </c>
      <c r="J70" s="1" t="s">
        <v>22</v>
      </c>
      <c r="K70" s="2">
        <v>10.1348501</v>
      </c>
      <c r="L70" s="2">
        <v>105.77112233</v>
      </c>
      <c r="M70" s="1" t="s">
        <v>2474</v>
      </c>
      <c r="N70" s="1" t="s">
        <v>221</v>
      </c>
      <c r="O70" s="1" t="str">
        <f>INT(K70)&amp;"°"&amp;INT(MOD(K70,1)*60)&amp;"'"&amp;
ROUND(MOD(MOD(K70,1)*60,1)*60,1)&amp;"""N"</f>
        <v>10°8'5.5"N</v>
      </c>
      <c r="P70" s="1" t="str">
        <f>INT(L70)&amp;"°"&amp;INT(MOD(L70,1)*60)&amp;"'"&amp;
ROUND(MOD(MOD(L70,1)*60,1)*60,1)&amp;"""E"</f>
        <v>105°46'16"E</v>
      </c>
      <c r="Q70" s="1" t="str">
        <f>O70 &amp; " " &amp; P70</f>
        <v>10°8'5.5"N 105°46'16"E</v>
      </c>
    </row>
    <row r="71" spans="1:17" ht="15.75" customHeight="1" x14ac:dyDescent="0.2">
      <c r="A71" s="1">
        <v>57</v>
      </c>
      <c r="B71" s="1" t="s">
        <v>234</v>
      </c>
      <c r="C71" s="1" t="s">
        <v>15</v>
      </c>
      <c r="D71" s="1" t="s">
        <v>16</v>
      </c>
      <c r="E71" s="1" t="s">
        <v>218</v>
      </c>
      <c r="F71" s="1" t="s">
        <v>219</v>
      </c>
      <c r="G71" s="1" t="s">
        <v>235</v>
      </c>
      <c r="H71" s="1" t="s">
        <v>236</v>
      </c>
      <c r="I71" s="1" t="s">
        <v>21</v>
      </c>
      <c r="J71" s="1" t="s">
        <v>22</v>
      </c>
      <c r="K71" s="2">
        <v>10.15643298</v>
      </c>
      <c r="L71" s="2">
        <v>106.46768794</v>
      </c>
      <c r="M71" s="1" t="s">
        <v>183</v>
      </c>
      <c r="N71" s="1" t="s">
        <v>221</v>
      </c>
      <c r="O71" s="1" t="str">
        <f>INT(K71)&amp;"°"&amp;INT(MOD(K71,1)*60)&amp;"'"&amp;
ROUND(MOD(MOD(K71,1)*60,1)*60,1)&amp;"""N"</f>
        <v>10°9'23.2"N</v>
      </c>
      <c r="P71" s="1" t="str">
        <f>INT(L71)&amp;"°"&amp;INT(MOD(L71,1)*60)&amp;"'"&amp;
ROUND(MOD(MOD(L71,1)*60,1)*60,1)&amp;"""E"</f>
        <v>106°28'3.7"E</v>
      </c>
      <c r="Q71" s="1" t="str">
        <f>O71 &amp; " " &amp; P71</f>
        <v>10°9'23.2"N 106°28'3.7"E</v>
      </c>
    </row>
    <row r="72" spans="1:17" ht="15.75" customHeight="1" x14ac:dyDescent="0.2">
      <c r="A72" s="1">
        <v>54</v>
      </c>
      <c r="B72" s="1" t="s">
        <v>225</v>
      </c>
      <c r="C72" s="1" t="s">
        <v>15</v>
      </c>
      <c r="D72" s="1" t="s">
        <v>16</v>
      </c>
      <c r="E72" s="1" t="s">
        <v>218</v>
      </c>
      <c r="F72" s="1" t="s">
        <v>219</v>
      </c>
      <c r="G72" s="1" t="s">
        <v>226</v>
      </c>
      <c r="H72" s="1" t="s">
        <v>227</v>
      </c>
      <c r="I72" s="1" t="s">
        <v>21</v>
      </c>
      <c r="J72" s="1" t="s">
        <v>22</v>
      </c>
      <c r="K72" s="2">
        <v>10.17696877</v>
      </c>
      <c r="L72" s="2">
        <v>106.64796518999999</v>
      </c>
      <c r="M72" s="1" t="s">
        <v>228</v>
      </c>
      <c r="N72" s="1" t="s">
        <v>221</v>
      </c>
      <c r="O72" s="1" t="str">
        <f>INT(K72)&amp;"°"&amp;INT(MOD(K72,1)*60)&amp;"'"&amp;
ROUND(MOD(MOD(K72,1)*60,1)*60,1)&amp;"""N"</f>
        <v>10°10'37.1"N</v>
      </c>
      <c r="P72" s="1" t="str">
        <f>INT(L72)&amp;"°"&amp;INT(MOD(L72,1)*60)&amp;"'"&amp;
ROUND(MOD(MOD(L72,1)*60,1)*60,1)&amp;"""E"</f>
        <v>106°38'52.7"E</v>
      </c>
      <c r="Q72" s="1" t="str">
        <f>O72 &amp; " " &amp; P72</f>
        <v>10°10'37.1"N 106°38'52.7"E</v>
      </c>
    </row>
    <row r="73" spans="1:17" ht="15.75" customHeight="1" x14ac:dyDescent="0.2">
      <c r="A73" s="1">
        <v>58</v>
      </c>
      <c r="B73" s="1" t="s">
        <v>237</v>
      </c>
      <c r="C73" s="1" t="s">
        <v>15</v>
      </c>
      <c r="D73" s="1" t="s">
        <v>16</v>
      </c>
      <c r="E73" s="1" t="s">
        <v>218</v>
      </c>
      <c r="F73" s="1" t="s">
        <v>219</v>
      </c>
      <c r="G73" s="1" t="s">
        <v>238</v>
      </c>
      <c r="H73" s="1" t="s">
        <v>239</v>
      </c>
      <c r="I73" s="1" t="s">
        <v>21</v>
      </c>
      <c r="J73" s="1" t="s">
        <v>22</v>
      </c>
      <c r="K73" s="2">
        <v>10.180240919999999</v>
      </c>
      <c r="L73" s="2">
        <v>106.28968222</v>
      </c>
      <c r="M73" s="1" t="s">
        <v>240</v>
      </c>
      <c r="N73" s="1" t="s">
        <v>221</v>
      </c>
      <c r="O73" s="1" t="str">
        <f>INT(K73)&amp;"°"&amp;INT(MOD(K73,1)*60)&amp;"'"&amp;
ROUND(MOD(MOD(K73,1)*60,1)*60,1)&amp;"""N"</f>
        <v>10°10'48.9"N</v>
      </c>
      <c r="P73" s="1" t="str">
        <f>INT(L73)&amp;"°"&amp;INT(MOD(L73,1)*60)&amp;"'"&amp;
ROUND(MOD(MOD(L73,1)*60,1)*60,1)&amp;"""E"</f>
        <v>106°17'22.9"E</v>
      </c>
      <c r="Q73" s="1" t="str">
        <f>O73 &amp; " " &amp; P73</f>
        <v>10°10'48.9"N 106°17'22.9"E</v>
      </c>
    </row>
    <row r="74" spans="1:17" ht="15.75" customHeight="1" x14ac:dyDescent="0.2">
      <c r="A74" s="1">
        <v>688</v>
      </c>
      <c r="B74" s="1" t="s">
        <v>2479</v>
      </c>
      <c r="C74" s="1" t="s">
        <v>15</v>
      </c>
      <c r="D74" s="1" t="s">
        <v>16</v>
      </c>
      <c r="E74" s="1" t="s">
        <v>2471</v>
      </c>
      <c r="F74" s="1" t="s">
        <v>221</v>
      </c>
      <c r="G74" s="1" t="s">
        <v>2480</v>
      </c>
      <c r="H74" s="1" t="s">
        <v>2481</v>
      </c>
      <c r="I74" s="1" t="s">
        <v>21</v>
      </c>
      <c r="J74" s="1" t="s">
        <v>22</v>
      </c>
      <c r="K74" s="2">
        <v>10.189803810000001</v>
      </c>
      <c r="L74" s="2">
        <v>106.07855057</v>
      </c>
      <c r="M74" s="1" t="s">
        <v>2482</v>
      </c>
      <c r="N74" s="1" t="s">
        <v>221</v>
      </c>
      <c r="O74" s="1" t="str">
        <f>INT(K74)&amp;"°"&amp;INT(MOD(K74,1)*60)&amp;"'"&amp;
ROUND(MOD(MOD(K74,1)*60,1)*60,1)&amp;"""N"</f>
        <v>10°11'23.3"N</v>
      </c>
      <c r="P74" s="1" t="str">
        <f>INT(L74)&amp;"°"&amp;INT(MOD(L74,1)*60)&amp;"'"&amp;
ROUND(MOD(MOD(L74,1)*60,1)*60,1)&amp;"""E"</f>
        <v>106°4'42.8"E</v>
      </c>
      <c r="Q74" s="1" t="str">
        <f>O74 &amp; " " &amp; P74</f>
        <v>10°11'23.3"N 106°4'42.8"E</v>
      </c>
    </row>
    <row r="75" spans="1:17" ht="15.75" customHeight="1" x14ac:dyDescent="0.2">
      <c r="A75" s="1">
        <v>119</v>
      </c>
      <c r="B75" s="1" t="s">
        <v>459</v>
      </c>
      <c r="C75" s="1" t="s">
        <v>15</v>
      </c>
      <c r="D75" s="1" t="s">
        <v>16</v>
      </c>
      <c r="E75" s="1" t="s">
        <v>430</v>
      </c>
      <c r="F75" s="1" t="s">
        <v>431</v>
      </c>
      <c r="G75" s="1" t="s">
        <v>289</v>
      </c>
      <c r="H75" s="1" t="s">
        <v>290</v>
      </c>
      <c r="I75" s="1" t="s">
        <v>21</v>
      </c>
      <c r="J75" s="1" t="s">
        <v>22</v>
      </c>
      <c r="K75" s="2">
        <v>10.213985190000001</v>
      </c>
      <c r="L75" s="2">
        <v>105.36898698</v>
      </c>
      <c r="M75" s="1" t="s">
        <v>460</v>
      </c>
      <c r="N75" s="1" t="s">
        <v>431</v>
      </c>
      <c r="O75" s="1" t="str">
        <f>INT(K75)&amp;"°"&amp;INT(MOD(K75,1)*60)&amp;"'"&amp;
ROUND(MOD(MOD(K75,1)*60,1)*60,1)&amp;"""N"</f>
        <v>10°12'50.3"N</v>
      </c>
      <c r="P75" s="1" t="str">
        <f>INT(L75)&amp;"°"&amp;INT(MOD(L75,1)*60)&amp;"'"&amp;
ROUND(MOD(MOD(L75,1)*60,1)*60,1)&amp;"""E"</f>
        <v>105°22'8.4"E</v>
      </c>
      <c r="Q75" s="1" t="str">
        <f>O75 &amp; " " &amp; P75</f>
        <v>10°12'50.3"N 105°22'8.4"E</v>
      </c>
    </row>
    <row r="76" spans="1:17" ht="15.75" customHeight="1" x14ac:dyDescent="0.2">
      <c r="A76" s="1">
        <v>687</v>
      </c>
      <c r="B76" s="1" t="s">
        <v>2475</v>
      </c>
      <c r="C76" s="1" t="s">
        <v>15</v>
      </c>
      <c r="D76" s="1" t="s">
        <v>16</v>
      </c>
      <c r="E76" s="1" t="s">
        <v>2471</v>
      </c>
      <c r="F76" s="1" t="s">
        <v>221</v>
      </c>
      <c r="G76" s="1" t="s">
        <v>2476</v>
      </c>
      <c r="H76" s="1" t="s">
        <v>2477</v>
      </c>
      <c r="I76" s="1" t="s">
        <v>21</v>
      </c>
      <c r="J76" s="1" t="s">
        <v>22</v>
      </c>
      <c r="K76" s="2">
        <v>10.22179219</v>
      </c>
      <c r="L76" s="2">
        <v>105.96804720999999</v>
      </c>
      <c r="M76" s="1" t="s">
        <v>2478</v>
      </c>
      <c r="N76" s="1" t="s">
        <v>221</v>
      </c>
      <c r="O76" s="1" t="str">
        <f>INT(K76)&amp;"°"&amp;INT(MOD(K76,1)*60)&amp;"'"&amp;
ROUND(MOD(MOD(K76,1)*60,1)*60,1)&amp;"""N"</f>
        <v>10°13'18.5"N</v>
      </c>
      <c r="P76" s="1" t="str">
        <f>INT(L76)&amp;"°"&amp;INT(MOD(L76,1)*60)&amp;"'"&amp;
ROUND(MOD(MOD(L76,1)*60,1)*60,1)&amp;"""E"</f>
        <v>105°58'5"E</v>
      </c>
      <c r="Q76" s="1" t="str">
        <f>O76 &amp; " " &amp; P76</f>
        <v>10°13'18.5"N 105°58'5"E</v>
      </c>
    </row>
    <row r="77" spans="1:17" ht="15.75" customHeight="1" x14ac:dyDescent="0.2">
      <c r="A77" s="1">
        <v>368</v>
      </c>
      <c r="B77" s="1" t="s">
        <v>1347</v>
      </c>
      <c r="C77" s="1" t="s">
        <v>15</v>
      </c>
      <c r="D77" s="1" t="s">
        <v>16</v>
      </c>
      <c r="E77" s="1" t="s">
        <v>1326</v>
      </c>
      <c r="F77" s="1" t="s">
        <v>1327</v>
      </c>
      <c r="G77" s="1" t="s">
        <v>1348</v>
      </c>
      <c r="H77" s="1" t="s">
        <v>1349</v>
      </c>
      <c r="I77" s="1" t="s">
        <v>21</v>
      </c>
      <c r="J77" s="1" t="s">
        <v>22</v>
      </c>
      <c r="K77" s="2">
        <v>10.22185026</v>
      </c>
      <c r="L77" s="2">
        <v>104.94106696999999</v>
      </c>
      <c r="M77" s="1" t="s">
        <v>1348</v>
      </c>
      <c r="N77" s="1" t="s">
        <v>18</v>
      </c>
      <c r="O77" s="1" t="str">
        <f>INT(K77)&amp;"°"&amp;INT(MOD(K77,1)*60)&amp;"'"&amp;
ROUND(MOD(MOD(K77,1)*60,1)*60,1)&amp;"""N"</f>
        <v>10°13'18.7"N</v>
      </c>
      <c r="P77" s="1" t="str">
        <f>INT(L77)&amp;"°"&amp;INT(MOD(L77,1)*60)&amp;"'"&amp;
ROUND(MOD(MOD(L77,1)*60,1)*60,1)&amp;"""E"</f>
        <v>104°56'27.8"E</v>
      </c>
      <c r="Q77" s="1" t="str">
        <f>O77 &amp; " " &amp; P77</f>
        <v>10°13'18.7"N 104°56'27.8"E</v>
      </c>
    </row>
    <row r="78" spans="1:17" ht="15.75" customHeight="1" x14ac:dyDescent="0.2">
      <c r="A78" s="1">
        <v>186</v>
      </c>
      <c r="B78" s="1" t="s">
        <v>708</v>
      </c>
      <c r="C78" s="1" t="s">
        <v>15</v>
      </c>
      <c r="D78" s="1" t="s">
        <v>16</v>
      </c>
      <c r="E78" s="1" t="s">
        <v>701</v>
      </c>
      <c r="F78" s="1" t="s">
        <v>702</v>
      </c>
      <c r="G78" s="1" t="s">
        <v>35</v>
      </c>
      <c r="H78" s="1" t="s">
        <v>36</v>
      </c>
      <c r="I78" s="1" t="s">
        <v>21</v>
      </c>
      <c r="J78" s="1" t="s">
        <v>22</v>
      </c>
      <c r="K78" s="2">
        <v>10.226762600000001</v>
      </c>
      <c r="L78" s="2">
        <v>105.81841996</v>
      </c>
      <c r="M78" s="1" t="s">
        <v>709</v>
      </c>
      <c r="N78" s="1" t="s">
        <v>702</v>
      </c>
      <c r="O78" s="1" t="str">
        <f>INT(K78)&amp;"°"&amp;INT(MOD(K78,1)*60)&amp;"'"&amp;
ROUND(MOD(MOD(K78,1)*60,1)*60,1)&amp;"""N"</f>
        <v>10°13'36.3"N</v>
      </c>
      <c r="P78" s="1" t="str">
        <f>INT(L78)&amp;"°"&amp;INT(MOD(L78,1)*60)&amp;"'"&amp;
ROUND(MOD(MOD(L78,1)*60,1)*60,1)&amp;"""E"</f>
        <v>105°49'6.3"E</v>
      </c>
      <c r="Q78" s="1" t="str">
        <f>O78 &amp; " " &amp; P78</f>
        <v>10°13'36.3"N 105°49'6.3"E</v>
      </c>
    </row>
    <row r="79" spans="1:17" ht="15.75" customHeight="1" x14ac:dyDescent="0.2">
      <c r="A79" s="1">
        <v>56</v>
      </c>
      <c r="B79" s="1" t="s">
        <v>231</v>
      </c>
      <c r="C79" s="1" t="s">
        <v>15</v>
      </c>
      <c r="D79" s="1" t="s">
        <v>16</v>
      </c>
      <c r="E79" s="1" t="s">
        <v>218</v>
      </c>
      <c r="F79" s="1" t="s">
        <v>219</v>
      </c>
      <c r="G79" s="1" t="s">
        <v>232</v>
      </c>
      <c r="H79" s="1" t="s">
        <v>233</v>
      </c>
      <c r="I79" s="1" t="s">
        <v>21</v>
      </c>
      <c r="J79" s="1" t="s">
        <v>22</v>
      </c>
      <c r="K79" s="2">
        <v>10.23009137</v>
      </c>
      <c r="L79" s="2">
        <v>106.16009978</v>
      </c>
      <c r="M79" s="1" t="s">
        <v>232</v>
      </c>
      <c r="N79" s="1" t="s">
        <v>221</v>
      </c>
      <c r="O79" s="1" t="str">
        <f>INT(K79)&amp;"°"&amp;INT(MOD(K79,1)*60)&amp;"'"&amp;
ROUND(MOD(MOD(K79,1)*60,1)*60,1)&amp;"""N"</f>
        <v>10°13'48.3"N</v>
      </c>
      <c r="P79" s="1" t="str">
        <f>INT(L79)&amp;"°"&amp;INT(MOD(L79,1)*60)&amp;"'"&amp;
ROUND(MOD(MOD(L79,1)*60,1)*60,1)&amp;"""E"</f>
        <v>106°9'36.4"E</v>
      </c>
      <c r="Q79" s="1" t="str">
        <f>O79 &amp; " " &amp; P79</f>
        <v>10°13'48.3"N 106°9'36.4"E</v>
      </c>
    </row>
    <row r="80" spans="1:17" ht="15.75" customHeight="1" x14ac:dyDescent="0.2">
      <c r="A80" s="1">
        <v>53</v>
      </c>
      <c r="B80" s="1" t="s">
        <v>222</v>
      </c>
      <c r="C80" s="1" t="s">
        <v>15</v>
      </c>
      <c r="D80" s="1" t="s">
        <v>16</v>
      </c>
      <c r="E80" s="1" t="s">
        <v>218</v>
      </c>
      <c r="F80" s="1" t="s">
        <v>219</v>
      </c>
      <c r="G80" s="1" t="s">
        <v>219</v>
      </c>
      <c r="H80" s="1" t="s">
        <v>223</v>
      </c>
      <c r="I80" s="1" t="s">
        <v>27</v>
      </c>
      <c r="J80" s="1" t="s">
        <v>28</v>
      </c>
      <c r="K80" s="2">
        <v>10.238486829999999</v>
      </c>
      <c r="L80" s="2">
        <v>106.37272202</v>
      </c>
      <c r="M80" s="1" t="s">
        <v>224</v>
      </c>
      <c r="N80" s="1" t="s">
        <v>221</v>
      </c>
      <c r="O80" s="1" t="str">
        <f>INT(K80)&amp;"°"&amp;INT(MOD(K80,1)*60)&amp;"'"&amp;
ROUND(MOD(MOD(K80,1)*60,1)*60,1)&amp;"""N"</f>
        <v>10°14'18.6"N</v>
      </c>
      <c r="P80" s="1" t="str">
        <f>INT(L80)&amp;"°"&amp;INT(MOD(L80,1)*60)&amp;"'"&amp;
ROUND(MOD(MOD(L80,1)*60,1)*60,1)&amp;"""E"</f>
        <v>106°22'21.8"E</v>
      </c>
      <c r="Q80" s="1" t="str">
        <f>O80 &amp; " " &amp; P80</f>
        <v>10°14'18.6"N 106°22'21.8"E</v>
      </c>
    </row>
    <row r="81" spans="1:17" ht="15.75" customHeight="1" x14ac:dyDescent="0.2">
      <c r="A81" s="1">
        <v>118</v>
      </c>
      <c r="B81" s="1" t="s">
        <v>455</v>
      </c>
      <c r="C81" s="1" t="s">
        <v>15</v>
      </c>
      <c r="D81" s="1" t="s">
        <v>16</v>
      </c>
      <c r="E81" s="1" t="s">
        <v>430</v>
      </c>
      <c r="F81" s="1" t="s">
        <v>431</v>
      </c>
      <c r="G81" s="1" t="s">
        <v>456</v>
      </c>
      <c r="H81" s="1" t="s">
        <v>457</v>
      </c>
      <c r="I81" s="1" t="s">
        <v>434</v>
      </c>
      <c r="J81" s="1" t="s">
        <v>435</v>
      </c>
      <c r="K81" s="2">
        <v>10.24200531</v>
      </c>
      <c r="L81" s="2">
        <v>105.54708105</v>
      </c>
      <c r="M81" s="1" t="s">
        <v>458</v>
      </c>
      <c r="N81" s="1" t="s">
        <v>431</v>
      </c>
      <c r="O81" s="1" t="str">
        <f>INT(K81)&amp;"°"&amp;INT(MOD(K81,1)*60)&amp;"'"&amp;
ROUND(MOD(MOD(K81,1)*60,1)*60,1)&amp;"""N"</f>
        <v>10°14'31.2"N</v>
      </c>
      <c r="P81" s="1" t="str">
        <f>INT(L81)&amp;"°"&amp;INT(MOD(L81,1)*60)&amp;"'"&amp;
ROUND(MOD(MOD(L81,1)*60,1)*60,1)&amp;"""E"</f>
        <v>105°32'49.5"E</v>
      </c>
      <c r="Q81" s="1" t="str">
        <f>O81 &amp; " " &amp; P81</f>
        <v>10°14'31.2"N 105°32'49.5"E</v>
      </c>
    </row>
    <row r="82" spans="1:17" ht="15.75" customHeight="1" x14ac:dyDescent="0.2">
      <c r="A82" s="1">
        <v>371</v>
      </c>
      <c r="B82" s="1" t="s">
        <v>1357</v>
      </c>
      <c r="C82" s="1" t="s">
        <v>15</v>
      </c>
      <c r="D82" s="1" t="s">
        <v>16</v>
      </c>
      <c r="E82" s="1" t="s">
        <v>1326</v>
      </c>
      <c r="F82" s="1" t="s">
        <v>1327</v>
      </c>
      <c r="G82" s="1" t="s">
        <v>1358</v>
      </c>
      <c r="H82" s="1" t="s">
        <v>1359</v>
      </c>
      <c r="I82" s="1" t="s">
        <v>21</v>
      </c>
      <c r="J82" s="1" t="s">
        <v>22</v>
      </c>
      <c r="K82" s="2">
        <v>10.24788403</v>
      </c>
      <c r="L82" s="2">
        <v>103.97938505</v>
      </c>
      <c r="M82" s="1" t="s">
        <v>1358</v>
      </c>
      <c r="N82" s="1" t="s">
        <v>18</v>
      </c>
      <c r="O82" s="1" t="str">
        <f>INT(K82)&amp;"°"&amp;INT(MOD(K82,1)*60)&amp;"'"&amp;
ROUND(MOD(MOD(K82,1)*60,1)*60,1)&amp;"""N"</f>
        <v>10°14'52.4"N</v>
      </c>
      <c r="P82" s="1" t="str">
        <f>INT(L82)&amp;"°"&amp;INT(MOD(L82,1)*60)&amp;"'"&amp;
ROUND(MOD(MOD(L82,1)*60,1)*60,1)&amp;"""E"</f>
        <v>103°58'45.8"E</v>
      </c>
      <c r="Q82" s="1" t="str">
        <f>O82 &amp; " " &amp; P82</f>
        <v>10°14'52.4"N 103°58'45.8"E</v>
      </c>
    </row>
    <row r="83" spans="1:17" ht="15.75" customHeight="1" x14ac:dyDescent="0.2">
      <c r="A83" s="1">
        <v>189</v>
      </c>
      <c r="B83" s="1" t="s">
        <v>716</v>
      </c>
      <c r="C83" s="1" t="s">
        <v>15</v>
      </c>
      <c r="D83" s="1" t="s">
        <v>16</v>
      </c>
      <c r="E83" s="1" t="s">
        <v>701</v>
      </c>
      <c r="F83" s="1" t="s">
        <v>702</v>
      </c>
      <c r="G83" s="1" t="s">
        <v>717</v>
      </c>
      <c r="H83" s="1" t="s">
        <v>717</v>
      </c>
      <c r="I83" s="1" t="s">
        <v>21</v>
      </c>
      <c r="J83" s="1" t="s">
        <v>22</v>
      </c>
      <c r="K83" s="2">
        <v>10.24892786</v>
      </c>
      <c r="L83" s="2">
        <v>105.65788603999999</v>
      </c>
      <c r="M83" s="1" t="s">
        <v>718</v>
      </c>
      <c r="N83" s="1" t="s">
        <v>702</v>
      </c>
      <c r="O83" s="1" t="str">
        <f>INT(K83)&amp;"°"&amp;INT(MOD(K83,1)*60)&amp;"'"&amp;
ROUND(MOD(MOD(K83,1)*60,1)*60,1)&amp;"""N"</f>
        <v>10°14'56.1"N</v>
      </c>
      <c r="P83" s="1" t="str">
        <f>INT(L83)&amp;"°"&amp;INT(MOD(L83,1)*60)&amp;"'"&amp;
ROUND(MOD(MOD(L83,1)*60,1)*60,1)&amp;"""E"</f>
        <v>105°39'28.4"E</v>
      </c>
      <c r="Q83" s="1" t="str">
        <f>O83 &amp; " " &amp; P83</f>
        <v>10°14'56.1"N 105°39'28.4"E</v>
      </c>
    </row>
    <row r="84" spans="1:17" ht="15.75" customHeight="1" x14ac:dyDescent="0.2">
      <c r="A84" s="1">
        <v>691</v>
      </c>
      <c r="B84" s="1" t="s">
        <v>2491</v>
      </c>
      <c r="C84" s="1" t="s">
        <v>15</v>
      </c>
      <c r="D84" s="1" t="s">
        <v>16</v>
      </c>
      <c r="E84" s="1" t="s">
        <v>2471</v>
      </c>
      <c r="F84" s="1" t="s">
        <v>221</v>
      </c>
      <c r="G84" s="1" t="s">
        <v>221</v>
      </c>
      <c r="H84" s="1" t="s">
        <v>2492</v>
      </c>
      <c r="I84" s="1" t="s">
        <v>27</v>
      </c>
      <c r="J84" s="1" t="s">
        <v>28</v>
      </c>
      <c r="K84" s="2">
        <v>10.25263109</v>
      </c>
      <c r="L84" s="2">
        <v>105.93699143000001</v>
      </c>
      <c r="M84" s="1" t="s">
        <v>2493</v>
      </c>
      <c r="N84" s="1" t="s">
        <v>221</v>
      </c>
      <c r="O84" s="1" t="str">
        <f>INT(K84)&amp;"°"&amp;INT(MOD(K84,1)*60)&amp;"'"&amp;
ROUND(MOD(MOD(K84,1)*60,1)*60,1)&amp;"""N"</f>
        <v>10°15'9.5"N</v>
      </c>
      <c r="P84" s="1" t="str">
        <f>INT(L84)&amp;"°"&amp;INT(MOD(L84,1)*60)&amp;"'"&amp;
ROUND(MOD(MOD(L84,1)*60,1)*60,1)&amp;"""E"</f>
        <v>105°56'13.2"E</v>
      </c>
      <c r="Q84" s="1" t="str">
        <f>O84 &amp; " " &amp; P84</f>
        <v>10°15'9.5"N 105°56'13.2"E</v>
      </c>
    </row>
    <row r="85" spans="1:17" ht="15.75" customHeight="1" x14ac:dyDescent="0.2">
      <c r="A85" s="1">
        <v>667</v>
      </c>
      <c r="B85" s="1" t="s">
        <v>2410</v>
      </c>
      <c r="C85" s="1" t="s">
        <v>15</v>
      </c>
      <c r="D85" s="1" t="s">
        <v>16</v>
      </c>
      <c r="E85" s="1" t="s">
        <v>2377</v>
      </c>
      <c r="F85" s="1" t="s">
        <v>2378</v>
      </c>
      <c r="G85" s="1" t="s">
        <v>2411</v>
      </c>
      <c r="H85" s="1" t="s">
        <v>2412</v>
      </c>
      <c r="I85" s="1" t="s">
        <v>21</v>
      </c>
      <c r="J85" s="1" t="s">
        <v>22</v>
      </c>
      <c r="K85" s="2">
        <v>10.256721049999999</v>
      </c>
      <c r="L85" s="2">
        <v>106.66047347</v>
      </c>
      <c r="M85" s="1" t="s">
        <v>2411</v>
      </c>
      <c r="N85" s="1" t="s">
        <v>702</v>
      </c>
      <c r="O85" s="1" t="str">
        <f>INT(K85)&amp;"°"&amp;INT(MOD(K85,1)*60)&amp;"'"&amp;
ROUND(MOD(MOD(K85,1)*60,1)*60,1)&amp;"""N"</f>
        <v>10°15'24.2"N</v>
      </c>
      <c r="P85" s="1" t="str">
        <f>INT(L85)&amp;"°"&amp;INT(MOD(L85,1)*60)&amp;"'"&amp;
ROUND(MOD(MOD(L85,1)*60,1)*60,1)&amp;"""E"</f>
        <v>106°39'37.7"E</v>
      </c>
      <c r="Q85" s="1" t="str">
        <f>O85 &amp; " " &amp; P85</f>
        <v>10°15'24.2"N 106°39'37.7"E</v>
      </c>
    </row>
    <row r="86" spans="1:17" ht="15.75" customHeight="1" x14ac:dyDescent="0.2">
      <c r="A86" s="1">
        <v>55</v>
      </c>
      <c r="B86" s="1" t="s">
        <v>229</v>
      </c>
      <c r="C86" s="1" t="s">
        <v>15</v>
      </c>
      <c r="D86" s="1" t="s">
        <v>16</v>
      </c>
      <c r="E86" s="1" t="s">
        <v>218</v>
      </c>
      <c r="F86" s="1" t="s">
        <v>219</v>
      </c>
      <c r="G86" s="1" t="s">
        <v>35</v>
      </c>
      <c r="H86" s="1" t="s">
        <v>36</v>
      </c>
      <c r="I86" s="1" t="s">
        <v>21</v>
      </c>
      <c r="J86" s="1" t="s">
        <v>22</v>
      </c>
      <c r="K86" s="2">
        <v>10.290525929999999</v>
      </c>
      <c r="L86" s="2">
        <v>106.30509993</v>
      </c>
      <c r="M86" s="1" t="s">
        <v>230</v>
      </c>
      <c r="N86" s="1" t="s">
        <v>221</v>
      </c>
      <c r="O86" s="1" t="str">
        <f>INT(K86)&amp;"°"&amp;INT(MOD(K86,1)*60)&amp;"'"&amp;
ROUND(MOD(MOD(K86,1)*60,1)*60,1)&amp;"""N"</f>
        <v>10°17'25.9"N</v>
      </c>
      <c r="P86" s="1" t="str">
        <f>INT(L86)&amp;"°"&amp;INT(MOD(L86,1)*60)&amp;"'"&amp;
ROUND(MOD(MOD(L86,1)*60,1)*60,1)&amp;"""E"</f>
        <v>106°18'18.4"E</v>
      </c>
      <c r="Q86" s="1" t="str">
        <f>O86 &amp; " " &amp; P86</f>
        <v>10°17'25.9"N 106°18'18.4"E</v>
      </c>
    </row>
    <row r="87" spans="1:17" ht="15.75" customHeight="1" x14ac:dyDescent="0.2">
      <c r="A87" s="1">
        <v>370</v>
      </c>
      <c r="B87" s="1" t="s">
        <v>1353</v>
      </c>
      <c r="C87" s="1" t="s">
        <v>15</v>
      </c>
      <c r="D87" s="1" t="s">
        <v>16</v>
      </c>
      <c r="E87" s="1" t="s">
        <v>1326</v>
      </c>
      <c r="F87" s="1" t="s">
        <v>1327</v>
      </c>
      <c r="G87" s="1" t="s">
        <v>1354</v>
      </c>
      <c r="H87" s="1" t="s">
        <v>1355</v>
      </c>
      <c r="I87" s="1" t="s">
        <v>21</v>
      </c>
      <c r="J87" s="1" t="s">
        <v>22</v>
      </c>
      <c r="K87" s="2">
        <v>10.292538179999999</v>
      </c>
      <c r="L87" s="2">
        <v>104.65412048</v>
      </c>
      <c r="M87" s="1" t="s">
        <v>1356</v>
      </c>
      <c r="N87" s="1" t="s">
        <v>18</v>
      </c>
      <c r="O87" s="1" t="str">
        <f>INT(K87)&amp;"°"&amp;INT(MOD(K87,1)*60)&amp;"'"&amp;
ROUND(MOD(MOD(K87,1)*60,1)*60,1)&amp;"""N"</f>
        <v>10°17'33.1"N</v>
      </c>
      <c r="P87" s="1" t="str">
        <f>INT(L87)&amp;"°"&amp;INT(MOD(L87,1)*60)&amp;"'"&amp;
ROUND(MOD(MOD(L87,1)*60,1)*60,1)&amp;"""E"</f>
        <v>104°39'14.8"E</v>
      </c>
      <c r="Q87" s="1" t="str">
        <f>O87 &amp; " " &amp; P87</f>
        <v>10°17'33.1"N 104°39'14.8"E</v>
      </c>
    </row>
    <row r="88" spans="1:17" ht="15.75" customHeight="1" x14ac:dyDescent="0.2">
      <c r="A88" s="1">
        <v>9</v>
      </c>
      <c r="B88" s="1" t="s">
        <v>56</v>
      </c>
      <c r="C88" s="1" t="s">
        <v>15</v>
      </c>
      <c r="D88" s="1" t="s">
        <v>16</v>
      </c>
      <c r="E88" s="1" t="s">
        <v>17</v>
      </c>
      <c r="F88" s="1" t="s">
        <v>18</v>
      </c>
      <c r="G88" s="1" t="s">
        <v>57</v>
      </c>
      <c r="H88" s="1" t="s">
        <v>58</v>
      </c>
      <c r="I88" s="1" t="s">
        <v>21</v>
      </c>
      <c r="J88" s="1" t="s">
        <v>22</v>
      </c>
      <c r="K88" s="2">
        <v>10.29681727</v>
      </c>
      <c r="L88" s="2">
        <v>105.25555663</v>
      </c>
      <c r="M88" s="1" t="s">
        <v>59</v>
      </c>
      <c r="N88" s="1" t="s">
        <v>18</v>
      </c>
      <c r="O88" s="1" t="str">
        <f>INT(K88)&amp;"°"&amp;INT(MOD(K88,1)*60)&amp;"'"&amp;
ROUND(MOD(MOD(K88,1)*60,1)*60,1)&amp;"""N"</f>
        <v>10°17'48.5"N</v>
      </c>
      <c r="P88" s="1" t="str">
        <f>INT(L88)&amp;"°"&amp;INT(MOD(L88,1)*60)&amp;"'"&amp;
ROUND(MOD(MOD(L88,1)*60,1)*60,1)&amp;"""E"</f>
        <v>105°15'20"E</v>
      </c>
      <c r="Q88" s="1" t="str">
        <f>O88 &amp; " " &amp; P88</f>
        <v>10°17'48.5"N 105°15'20"E</v>
      </c>
    </row>
    <row r="89" spans="1:17" ht="15.75" customHeight="1" x14ac:dyDescent="0.2">
      <c r="A89" s="1">
        <v>191</v>
      </c>
      <c r="B89" s="1" t="s">
        <v>722</v>
      </c>
      <c r="C89" s="1" t="s">
        <v>15</v>
      </c>
      <c r="D89" s="1" t="s">
        <v>16</v>
      </c>
      <c r="E89" s="1" t="s">
        <v>701</v>
      </c>
      <c r="F89" s="1" t="s">
        <v>702</v>
      </c>
      <c r="G89" s="1" t="s">
        <v>723</v>
      </c>
      <c r="H89" s="1" t="s">
        <v>724</v>
      </c>
      <c r="I89" s="1" t="s">
        <v>27</v>
      </c>
      <c r="J89" s="1" t="s">
        <v>28</v>
      </c>
      <c r="K89" s="2">
        <v>10.31796082</v>
      </c>
      <c r="L89" s="2">
        <v>105.74028299</v>
      </c>
      <c r="M89" s="1" t="s">
        <v>723</v>
      </c>
      <c r="N89" s="1" t="s">
        <v>702</v>
      </c>
      <c r="O89" s="1" t="str">
        <f>INT(K89)&amp;"°"&amp;INT(MOD(K89,1)*60)&amp;"'"&amp;
ROUND(MOD(MOD(K89,1)*60,1)*60,1)&amp;"""N"</f>
        <v>10°19'4.7"N</v>
      </c>
      <c r="P89" s="1" t="str">
        <f>INT(L89)&amp;"°"&amp;INT(MOD(L89,1)*60)&amp;"'"&amp;
ROUND(MOD(MOD(L89,1)*60,1)*60,1)&amp;"""E"</f>
        <v>105°44'25"E</v>
      </c>
      <c r="Q89" s="1" t="str">
        <f>O89 &amp; " " &amp; P89</f>
        <v>10°19'4.7"N 105°44'25"E</v>
      </c>
    </row>
    <row r="90" spans="1:17" ht="15.75" customHeight="1" x14ac:dyDescent="0.2">
      <c r="A90" s="1">
        <v>665</v>
      </c>
      <c r="B90" s="1" t="s">
        <v>2403</v>
      </c>
      <c r="C90" s="1" t="s">
        <v>15</v>
      </c>
      <c r="D90" s="1" t="s">
        <v>16</v>
      </c>
      <c r="E90" s="1" t="s">
        <v>2377</v>
      </c>
      <c r="F90" s="1" t="s">
        <v>2378</v>
      </c>
      <c r="G90" s="1" t="s">
        <v>2404</v>
      </c>
      <c r="H90" s="1" t="s">
        <v>2405</v>
      </c>
      <c r="I90" s="1" t="s">
        <v>21</v>
      </c>
      <c r="J90" s="1" t="s">
        <v>22</v>
      </c>
      <c r="K90" s="2">
        <v>10.3482626</v>
      </c>
      <c r="L90" s="2">
        <v>106.59531762</v>
      </c>
      <c r="M90" s="1" t="s">
        <v>1373</v>
      </c>
      <c r="N90" s="1" t="s">
        <v>702</v>
      </c>
      <c r="O90" s="1" t="str">
        <f>INT(K90)&amp;"°"&amp;INT(MOD(K90,1)*60)&amp;"'"&amp;
ROUND(MOD(MOD(K90,1)*60,1)*60,1)&amp;"""N"</f>
        <v>10°20'53.7"N</v>
      </c>
      <c r="P90" s="1" t="str">
        <f>INT(L90)&amp;"°"&amp;INT(MOD(L90,1)*60)&amp;"'"&amp;
ROUND(MOD(MOD(L90,1)*60,1)*60,1)&amp;"""E"</f>
        <v>106°35'43.1"E</v>
      </c>
      <c r="Q90" s="1" t="str">
        <f>O90 &amp; " " &amp; P90</f>
        <v>10°20'53.7"N 106°35'43.1"E</v>
      </c>
    </row>
    <row r="91" spans="1:17" ht="15.75" customHeight="1" x14ac:dyDescent="0.2">
      <c r="A91" s="1">
        <v>190</v>
      </c>
      <c r="B91" s="1" t="s">
        <v>719</v>
      </c>
      <c r="C91" s="1" t="s">
        <v>15</v>
      </c>
      <c r="D91" s="1" t="s">
        <v>16</v>
      </c>
      <c r="E91" s="1" t="s">
        <v>701</v>
      </c>
      <c r="F91" s="1" t="s">
        <v>702</v>
      </c>
      <c r="G91" s="1" t="s">
        <v>720</v>
      </c>
      <c r="H91" s="1" t="s">
        <v>721</v>
      </c>
      <c r="I91" s="1" t="s">
        <v>21</v>
      </c>
      <c r="J91" s="1" t="s">
        <v>22</v>
      </c>
      <c r="K91" s="2">
        <v>10.35926907</v>
      </c>
      <c r="L91" s="2">
        <v>105.60279453</v>
      </c>
      <c r="M91" s="1" t="s">
        <v>720</v>
      </c>
      <c r="N91" s="1" t="s">
        <v>702</v>
      </c>
      <c r="O91" s="1" t="str">
        <f>INT(K91)&amp;"°"&amp;INT(MOD(K91,1)*60)&amp;"'"&amp;
ROUND(MOD(MOD(K91,1)*60,1)*60,1)&amp;"""N"</f>
        <v>10°21'33.4"N</v>
      </c>
      <c r="P91" s="1" t="str">
        <f>INT(L91)&amp;"°"&amp;INT(MOD(L91,1)*60)&amp;"'"&amp;
ROUND(MOD(MOD(L91,1)*60,1)*60,1)&amp;"""E"</f>
        <v>105°36'10.1"E</v>
      </c>
      <c r="Q91" s="1" t="str">
        <f>O91 &amp; " " &amp; P91</f>
        <v>10°21'33.4"N 105°36'10.1"E</v>
      </c>
    </row>
    <row r="92" spans="1:17" ht="15.75" customHeight="1" x14ac:dyDescent="0.2">
      <c r="A92" s="1">
        <v>666</v>
      </c>
      <c r="B92" s="1" t="s">
        <v>2406</v>
      </c>
      <c r="C92" s="1" t="s">
        <v>15</v>
      </c>
      <c r="D92" s="1" t="s">
        <v>16</v>
      </c>
      <c r="E92" s="1" t="s">
        <v>2377</v>
      </c>
      <c r="F92" s="1" t="s">
        <v>2378</v>
      </c>
      <c r="G92" s="1" t="s">
        <v>2407</v>
      </c>
      <c r="H92" s="1" t="s">
        <v>2408</v>
      </c>
      <c r="I92" s="1" t="s">
        <v>27</v>
      </c>
      <c r="J92" s="1" t="s">
        <v>28</v>
      </c>
      <c r="K92" s="2">
        <v>10.36462354</v>
      </c>
      <c r="L92" s="2">
        <v>106.35409781</v>
      </c>
      <c r="M92" s="1" t="s">
        <v>2409</v>
      </c>
      <c r="N92" s="1" t="s">
        <v>702</v>
      </c>
      <c r="O92" s="1" t="str">
        <f>INT(K92)&amp;"°"&amp;INT(MOD(K92,1)*60)&amp;"'"&amp;
ROUND(MOD(MOD(K92,1)*60,1)*60,1)&amp;"""N"</f>
        <v>10°21'52.6"N</v>
      </c>
      <c r="P92" s="1" t="str">
        <f>INT(L92)&amp;"°"&amp;INT(MOD(L92,1)*60)&amp;"'"&amp;
ROUND(MOD(MOD(L92,1)*60,1)*60,1)&amp;"""E"</f>
        <v>106°21'14.8"E</v>
      </c>
      <c r="Q92" s="1" t="str">
        <f>O92 &amp; " " &amp; P92</f>
        <v>10°21'52.6"N 106°21'14.8"E</v>
      </c>
    </row>
    <row r="93" spans="1:17" ht="15.75" customHeight="1" x14ac:dyDescent="0.2">
      <c r="A93" s="1">
        <v>664</v>
      </c>
      <c r="B93" s="1" t="s">
        <v>2399</v>
      </c>
      <c r="C93" s="1" t="s">
        <v>15</v>
      </c>
      <c r="D93" s="1" t="s">
        <v>16</v>
      </c>
      <c r="E93" s="1" t="s">
        <v>2377</v>
      </c>
      <c r="F93" s="1" t="s">
        <v>2378</v>
      </c>
      <c r="G93" s="1" t="s">
        <v>2400</v>
      </c>
      <c r="H93" s="1" t="s">
        <v>2401</v>
      </c>
      <c r="I93" s="1" t="s">
        <v>21</v>
      </c>
      <c r="J93" s="1" t="s">
        <v>22</v>
      </c>
      <c r="K93" s="2">
        <v>10.371192260000001</v>
      </c>
      <c r="L93" s="2">
        <v>106.73820077000001</v>
      </c>
      <c r="M93" s="1" t="s">
        <v>2402</v>
      </c>
      <c r="N93" s="1" t="s">
        <v>702</v>
      </c>
      <c r="O93" s="1" t="str">
        <f>INT(K93)&amp;"°"&amp;INT(MOD(K93,1)*60)&amp;"'"&amp;
ROUND(MOD(MOD(K93,1)*60,1)*60,1)&amp;"""N"</f>
        <v>10°22'16.3"N</v>
      </c>
      <c r="P93" s="1" t="str">
        <f>INT(L93)&amp;"°"&amp;INT(MOD(L93,1)*60)&amp;"'"&amp;
ROUND(MOD(MOD(L93,1)*60,1)*60,1)&amp;"""E"</f>
        <v>106°44'17.5"E</v>
      </c>
      <c r="Q93" s="1" t="str">
        <f>O93 &amp; " " &amp; P93</f>
        <v>10°22'16.3"N 106°44'17.5"E</v>
      </c>
    </row>
    <row r="94" spans="1:17" ht="15.75" customHeight="1" x14ac:dyDescent="0.2">
      <c r="A94" s="1">
        <v>6</v>
      </c>
      <c r="B94" s="1" t="s">
        <v>42</v>
      </c>
      <c r="C94" s="1" t="s">
        <v>15</v>
      </c>
      <c r="D94" s="1" t="s">
        <v>16</v>
      </c>
      <c r="E94" s="1" t="s">
        <v>17</v>
      </c>
      <c r="F94" s="1" t="s">
        <v>18</v>
      </c>
      <c r="G94" s="1" t="s">
        <v>43</v>
      </c>
      <c r="H94" s="1" t="s">
        <v>44</v>
      </c>
      <c r="I94" s="1" t="s">
        <v>27</v>
      </c>
      <c r="J94" s="1" t="s">
        <v>28</v>
      </c>
      <c r="K94" s="2">
        <v>10.371249130000001</v>
      </c>
      <c r="L94" s="2">
        <v>105.4280076</v>
      </c>
      <c r="M94" s="1" t="s">
        <v>45</v>
      </c>
      <c r="N94" s="1" t="s">
        <v>18</v>
      </c>
      <c r="O94" s="1" t="str">
        <f>INT(K94)&amp;"°"&amp;INT(MOD(K94,1)*60)&amp;"'"&amp;
ROUND(MOD(MOD(K94,1)*60,1)*60,1)&amp;"""N"</f>
        <v>10°22'16.5"N</v>
      </c>
      <c r="P94" s="1" t="str">
        <f>INT(L94)&amp;"°"&amp;INT(MOD(L94,1)*60)&amp;"'"&amp;
ROUND(MOD(MOD(L94,1)*60,1)*60,1)&amp;"""E"</f>
        <v>105°25'40.8"E</v>
      </c>
      <c r="Q94" s="1" t="str">
        <f>O94 &amp; " " &amp; P94</f>
        <v>10°22'16.5"N 105°25'40.8"E</v>
      </c>
    </row>
    <row r="95" spans="1:17" ht="15.75" customHeight="1" x14ac:dyDescent="0.2">
      <c r="A95" s="1">
        <v>662</v>
      </c>
      <c r="B95" s="1" t="s">
        <v>2391</v>
      </c>
      <c r="C95" s="1" t="s">
        <v>15</v>
      </c>
      <c r="D95" s="1" t="s">
        <v>16</v>
      </c>
      <c r="E95" s="1" t="s">
        <v>2377</v>
      </c>
      <c r="F95" s="1" t="s">
        <v>2378</v>
      </c>
      <c r="G95" s="1" t="s">
        <v>2392</v>
      </c>
      <c r="H95" s="1" t="s">
        <v>2393</v>
      </c>
      <c r="I95" s="1" t="s">
        <v>21</v>
      </c>
      <c r="J95" s="1" t="s">
        <v>22</v>
      </c>
      <c r="K95" s="2">
        <v>10.385729420000001</v>
      </c>
      <c r="L95" s="2">
        <v>106.45013561</v>
      </c>
      <c r="M95" s="1" t="s">
        <v>2394</v>
      </c>
      <c r="N95" s="1" t="s">
        <v>702</v>
      </c>
      <c r="O95" s="1" t="str">
        <f>INT(K95)&amp;"°"&amp;INT(MOD(K95,1)*60)&amp;"'"&amp;
ROUND(MOD(MOD(K95,1)*60,1)*60,1)&amp;"""N"</f>
        <v>10°23'8.6"N</v>
      </c>
      <c r="P95" s="1" t="str">
        <f>INT(L95)&amp;"°"&amp;INT(MOD(L95,1)*60)&amp;"'"&amp;
ROUND(MOD(MOD(L95,1)*60,1)*60,1)&amp;"""E"</f>
        <v>106°27'0.5"E</v>
      </c>
      <c r="Q95" s="1" t="str">
        <f>O95 &amp; " " &amp; P95</f>
        <v>10°23'8.6"N 106°27'0.5"E</v>
      </c>
    </row>
    <row r="96" spans="1:17" ht="15.75" customHeight="1" x14ac:dyDescent="0.2">
      <c r="A96" s="1">
        <v>367</v>
      </c>
      <c r="B96" s="1" t="s">
        <v>1344</v>
      </c>
      <c r="C96" s="1" t="s">
        <v>15</v>
      </c>
      <c r="D96" s="1" t="s">
        <v>16</v>
      </c>
      <c r="E96" s="1" t="s">
        <v>1326</v>
      </c>
      <c r="F96" s="1" t="s">
        <v>1327</v>
      </c>
      <c r="G96" s="1" t="s">
        <v>1345</v>
      </c>
      <c r="H96" s="1" t="s">
        <v>1346</v>
      </c>
      <c r="I96" s="1" t="s">
        <v>53</v>
      </c>
      <c r="J96" s="1" t="s">
        <v>54</v>
      </c>
      <c r="K96" s="2">
        <v>10.38979582</v>
      </c>
      <c r="L96" s="2">
        <v>104.50728191</v>
      </c>
      <c r="M96" s="1" t="s">
        <v>1345</v>
      </c>
      <c r="N96" s="1" t="s">
        <v>18</v>
      </c>
      <c r="O96" s="1" t="str">
        <f>INT(K96)&amp;"°"&amp;INT(MOD(K96,1)*60)&amp;"'"&amp;
ROUND(MOD(MOD(K96,1)*60,1)*60,1)&amp;"""N"</f>
        <v>10°23'23.3"N</v>
      </c>
      <c r="P96" s="1" t="str">
        <f>INT(L96)&amp;"°"&amp;INT(MOD(L96,1)*60)&amp;"'"&amp;
ROUND(MOD(MOD(L96,1)*60,1)*60,1)&amp;"""E"</f>
        <v>104°30'26.2"E</v>
      </c>
      <c r="Q96" s="1" t="str">
        <f>O96 &amp; " " &amp; P96</f>
        <v>10°23'23.3"N 104°30'26.2"E</v>
      </c>
    </row>
    <row r="97" spans="1:17" ht="15.75" customHeight="1" x14ac:dyDescent="0.2">
      <c r="A97" s="1">
        <v>658</v>
      </c>
      <c r="B97" s="1" t="s">
        <v>2376</v>
      </c>
      <c r="C97" s="1" t="s">
        <v>15</v>
      </c>
      <c r="D97" s="1" t="s">
        <v>16</v>
      </c>
      <c r="E97" s="1" t="s">
        <v>2377</v>
      </c>
      <c r="F97" s="1" t="s">
        <v>2378</v>
      </c>
      <c r="G97" s="1" t="s">
        <v>2379</v>
      </c>
      <c r="H97" s="1" t="s">
        <v>2380</v>
      </c>
      <c r="I97" s="1" t="s">
        <v>21</v>
      </c>
      <c r="J97" s="1" t="s">
        <v>22</v>
      </c>
      <c r="K97" s="2">
        <v>10.3900317</v>
      </c>
      <c r="L97" s="2">
        <v>105.94005249</v>
      </c>
      <c r="M97" s="1" t="s">
        <v>2381</v>
      </c>
      <c r="N97" s="1" t="s">
        <v>702</v>
      </c>
      <c r="O97" s="1" t="str">
        <f>INT(K97)&amp;"°"&amp;INT(MOD(K97,1)*60)&amp;"'"&amp;
ROUND(MOD(MOD(K97,1)*60,1)*60,1)&amp;"""N"</f>
        <v>10°23'24.1"N</v>
      </c>
      <c r="P97" s="1" t="str">
        <f>INT(L97)&amp;"°"&amp;INT(MOD(L97,1)*60)&amp;"'"&amp;
ROUND(MOD(MOD(L97,1)*60,1)*60,1)&amp;"""E"</f>
        <v>105°56'24.2"E</v>
      </c>
      <c r="Q97" s="1" t="str">
        <f>O97 &amp; " " &amp; P97</f>
        <v>10°23'24.1"N 105°56'24.2"E</v>
      </c>
    </row>
    <row r="98" spans="1:17" ht="15.75" customHeight="1" x14ac:dyDescent="0.2">
      <c r="A98" s="1">
        <v>659</v>
      </c>
      <c r="B98" s="1" t="s">
        <v>2382</v>
      </c>
      <c r="C98" s="1" t="s">
        <v>15</v>
      </c>
      <c r="D98" s="1" t="s">
        <v>16</v>
      </c>
      <c r="E98" s="1" t="s">
        <v>2377</v>
      </c>
      <c r="F98" s="1" t="s">
        <v>2378</v>
      </c>
      <c r="G98" s="1" t="s">
        <v>2383</v>
      </c>
      <c r="H98" s="1" t="s">
        <v>2384</v>
      </c>
      <c r="I98" s="1" t="s">
        <v>21</v>
      </c>
      <c r="J98" s="1" t="s">
        <v>22</v>
      </c>
      <c r="K98" s="2">
        <v>10.390740409999999</v>
      </c>
      <c r="L98" s="2">
        <v>106.08436743999999</v>
      </c>
      <c r="M98" s="1" t="s">
        <v>2385</v>
      </c>
      <c r="N98" s="1" t="s">
        <v>702</v>
      </c>
      <c r="O98" s="1" t="str">
        <f>INT(K98)&amp;"°"&amp;INT(MOD(K98,1)*60)&amp;"'"&amp;
ROUND(MOD(MOD(K98,1)*60,1)*60,1)&amp;"""N"</f>
        <v>10°23'26.7"N</v>
      </c>
      <c r="P98" s="1" t="str">
        <f>INT(L98)&amp;"°"&amp;INT(MOD(L98,1)*60)&amp;"'"&amp;
ROUND(MOD(MOD(L98,1)*60,1)*60,1)&amp;"""E"</f>
        <v>106°5'3.7"E</v>
      </c>
      <c r="Q98" s="1" t="str">
        <f>O98 &amp; " " &amp; P98</f>
        <v>10°23'26.7"N 106°5'3.7"E</v>
      </c>
    </row>
    <row r="99" spans="1:17" ht="15.75" customHeight="1" x14ac:dyDescent="0.2">
      <c r="A99" s="1">
        <v>661</v>
      </c>
      <c r="B99" s="1" t="s">
        <v>2389</v>
      </c>
      <c r="C99" s="1" t="s">
        <v>15</v>
      </c>
      <c r="D99" s="1" t="s">
        <v>16</v>
      </c>
      <c r="E99" s="1" t="s">
        <v>2377</v>
      </c>
      <c r="F99" s="1" t="s">
        <v>2378</v>
      </c>
      <c r="G99" s="1" t="s">
        <v>35</v>
      </c>
      <c r="H99" s="1" t="s">
        <v>36</v>
      </c>
      <c r="I99" s="1" t="s">
        <v>21</v>
      </c>
      <c r="J99" s="1" t="s">
        <v>22</v>
      </c>
      <c r="K99" s="2">
        <v>10.404765019999999</v>
      </c>
      <c r="L99" s="2">
        <v>106.27295853</v>
      </c>
      <c r="M99" s="1" t="s">
        <v>2390</v>
      </c>
      <c r="N99" s="1" t="s">
        <v>702</v>
      </c>
      <c r="O99" s="1" t="str">
        <f>INT(K99)&amp;"°"&amp;INT(MOD(K99,1)*60)&amp;"'"&amp;
ROUND(MOD(MOD(K99,1)*60,1)*60,1)&amp;"""N"</f>
        <v>10°24'17.2"N</v>
      </c>
      <c r="P99" s="1" t="str">
        <f>INT(L99)&amp;"°"&amp;INT(MOD(L99,1)*60)&amp;"'"&amp;
ROUND(MOD(MOD(L99,1)*60,1)*60,1)&amp;"""E"</f>
        <v>106°16'22.7"E</v>
      </c>
      <c r="Q99" s="1" t="str">
        <f>O99 &amp; " " &amp; P99</f>
        <v>10°24'17.2"N 106°16'22.7"E</v>
      </c>
    </row>
    <row r="100" spans="1:17" ht="15.75" customHeight="1" x14ac:dyDescent="0.2">
      <c r="A100" s="1">
        <v>663</v>
      </c>
      <c r="B100" s="1" t="s">
        <v>2395</v>
      </c>
      <c r="C100" s="1" t="s">
        <v>15</v>
      </c>
      <c r="D100" s="1" t="s">
        <v>16</v>
      </c>
      <c r="E100" s="1" t="s">
        <v>2377</v>
      </c>
      <c r="F100" s="1" t="s">
        <v>2378</v>
      </c>
      <c r="G100" s="1" t="s">
        <v>2396</v>
      </c>
      <c r="H100" s="1" t="s">
        <v>2397</v>
      </c>
      <c r="I100" s="1" t="s">
        <v>53</v>
      </c>
      <c r="J100" s="1" t="s">
        <v>54</v>
      </c>
      <c r="K100" s="2">
        <v>10.405638339999999</v>
      </c>
      <c r="L100" s="2">
        <v>106.65646058</v>
      </c>
      <c r="M100" s="1" t="s">
        <v>2398</v>
      </c>
      <c r="N100" s="1" t="s">
        <v>702</v>
      </c>
      <c r="O100" s="1" t="str">
        <f>INT(K100)&amp;"°"&amp;INT(MOD(K100,1)*60)&amp;"'"&amp;
ROUND(MOD(MOD(K100,1)*60,1)*60,1)&amp;"""N"</f>
        <v>10°24'20.3"N</v>
      </c>
      <c r="P100" s="1" t="str">
        <f>INT(L100)&amp;"°"&amp;INT(MOD(L100,1)*60)&amp;"'"&amp;
ROUND(MOD(MOD(L100,1)*60,1)*60,1)&amp;"""E"</f>
        <v>106°39'23.3"E</v>
      </c>
      <c r="Q100" s="1" t="str">
        <f>O100 &amp; " " &amp; P100</f>
        <v>10°24'20.3"N 106°39'23.3"E</v>
      </c>
    </row>
    <row r="101" spans="1:17" ht="15.75" customHeight="1" x14ac:dyDescent="0.2">
      <c r="A101" s="1">
        <v>11</v>
      </c>
      <c r="B101" s="1" t="s">
        <v>64</v>
      </c>
      <c r="C101" s="1" t="s">
        <v>15</v>
      </c>
      <c r="D101" s="1" t="s">
        <v>16</v>
      </c>
      <c r="E101" s="1" t="s">
        <v>17</v>
      </c>
      <c r="F101" s="1" t="s">
        <v>18</v>
      </c>
      <c r="G101" s="1" t="s">
        <v>65</v>
      </c>
      <c r="H101" s="1" t="s">
        <v>66</v>
      </c>
      <c r="I101" s="1" t="s">
        <v>21</v>
      </c>
      <c r="J101" s="1" t="s">
        <v>22</v>
      </c>
      <c r="K101" s="2">
        <v>10.412476829999999</v>
      </c>
      <c r="L101" s="2">
        <v>104.95909798</v>
      </c>
      <c r="M101" s="1" t="s">
        <v>67</v>
      </c>
      <c r="N101" s="1" t="s">
        <v>18</v>
      </c>
      <c r="O101" s="1" t="str">
        <f>INT(K101)&amp;"°"&amp;INT(MOD(K101,1)*60)&amp;"'"&amp;
ROUND(MOD(MOD(K101,1)*60,1)*60,1)&amp;"""N"</f>
        <v>10°24'44.9"N</v>
      </c>
      <c r="P101" s="1" t="str">
        <f>INT(L101)&amp;"°"&amp;INT(MOD(L101,1)*60)&amp;"'"&amp;
ROUND(MOD(MOD(L101,1)*60,1)*60,1)&amp;"""E"</f>
        <v>104°57'32.8"E</v>
      </c>
      <c r="Q101" s="1" t="str">
        <f>O101 &amp; " " &amp; P101</f>
        <v>10°24'44.9"N 104°57'32.8"E</v>
      </c>
    </row>
    <row r="102" spans="1:17" ht="15.75" customHeight="1" x14ac:dyDescent="0.2">
      <c r="A102" s="1">
        <v>17</v>
      </c>
      <c r="B102" s="1" t="s">
        <v>88</v>
      </c>
      <c r="C102" s="1" t="s">
        <v>15</v>
      </c>
      <c r="D102" s="1" t="s">
        <v>16</v>
      </c>
      <c r="E102" s="1" t="s">
        <v>69</v>
      </c>
      <c r="F102" s="1" t="s">
        <v>70</v>
      </c>
      <c r="G102" s="1" t="s">
        <v>89</v>
      </c>
      <c r="H102" s="1" t="s">
        <v>90</v>
      </c>
      <c r="I102" s="1" t="s">
        <v>27</v>
      </c>
      <c r="J102" s="1" t="s">
        <v>28</v>
      </c>
      <c r="K102" s="2">
        <v>10.41887049</v>
      </c>
      <c r="L102" s="2">
        <v>107.11819894</v>
      </c>
      <c r="M102" s="1" t="s">
        <v>91</v>
      </c>
      <c r="N102" s="1" t="s">
        <v>73</v>
      </c>
      <c r="O102" s="1" t="str">
        <f>INT(K102)&amp;"°"&amp;INT(MOD(K102,1)*60)&amp;"'"&amp;
ROUND(MOD(MOD(K102,1)*60,1)*60,1)&amp;"""N"</f>
        <v>10°25'7.9"N</v>
      </c>
      <c r="P102" s="1" t="str">
        <f>INT(L102)&amp;"°"&amp;INT(MOD(L102,1)*60)&amp;"'"&amp;
ROUND(MOD(MOD(L102,1)*60,1)*60,1)&amp;"""E"</f>
        <v>107°7'5.5"E</v>
      </c>
      <c r="Q102" s="1" t="str">
        <f>O102 &amp; " " &amp; P102</f>
        <v>10°25'7.9"N 107°7'5.5"E</v>
      </c>
    </row>
    <row r="103" spans="1:17" ht="15.75" customHeight="1" x14ac:dyDescent="0.2">
      <c r="A103" s="1">
        <v>4</v>
      </c>
      <c r="B103" s="1" t="s">
        <v>34</v>
      </c>
      <c r="C103" s="1" t="s">
        <v>15</v>
      </c>
      <c r="D103" s="1" t="s">
        <v>16</v>
      </c>
      <c r="E103" s="1" t="s">
        <v>17</v>
      </c>
      <c r="F103" s="1" t="s">
        <v>18</v>
      </c>
      <c r="G103" s="1" t="s">
        <v>35</v>
      </c>
      <c r="H103" s="1" t="s">
        <v>36</v>
      </c>
      <c r="I103" s="1" t="s">
        <v>21</v>
      </c>
      <c r="J103" s="1" t="s">
        <v>22</v>
      </c>
      <c r="K103" s="2">
        <v>10.42123891</v>
      </c>
      <c r="L103" s="2">
        <v>105.26597393999999</v>
      </c>
      <c r="M103" s="1" t="s">
        <v>37</v>
      </c>
      <c r="N103" s="1" t="s">
        <v>18</v>
      </c>
      <c r="O103" s="1" t="str">
        <f>INT(K103)&amp;"°"&amp;INT(MOD(K103,1)*60)&amp;"'"&amp;
ROUND(MOD(MOD(K103,1)*60,1)*60,1)&amp;"""N"</f>
        <v>10°25'16.5"N</v>
      </c>
      <c r="P103" s="1" t="str">
        <f>INT(L103)&amp;"°"&amp;INT(MOD(L103,1)*60)&amp;"'"&amp;
ROUND(MOD(MOD(L103,1)*60,1)*60,1)&amp;"""E"</f>
        <v>105°15'57.5"E</v>
      </c>
      <c r="Q103" s="1" t="str">
        <f>O103 &amp; " " &amp; P103</f>
        <v>10°25'16.5"N 105°15'57.5"E</v>
      </c>
    </row>
    <row r="104" spans="1:17" ht="15.75" customHeight="1" x14ac:dyDescent="0.2">
      <c r="A104" s="1">
        <v>660</v>
      </c>
      <c r="B104" s="1" t="s">
        <v>2386</v>
      </c>
      <c r="C104" s="1" t="s">
        <v>15</v>
      </c>
      <c r="D104" s="1" t="s">
        <v>16</v>
      </c>
      <c r="E104" s="1" t="s">
        <v>2377</v>
      </c>
      <c r="F104" s="1" t="s">
        <v>2378</v>
      </c>
      <c r="G104" s="1" t="s">
        <v>2387</v>
      </c>
      <c r="H104" s="1" t="s">
        <v>2384</v>
      </c>
      <c r="I104" s="1" t="s">
        <v>53</v>
      </c>
      <c r="J104" s="1" t="s">
        <v>54</v>
      </c>
      <c r="K104" s="2">
        <v>10.425572170000001</v>
      </c>
      <c r="L104" s="2">
        <v>106.13837466</v>
      </c>
      <c r="M104" s="1" t="s">
        <v>2388</v>
      </c>
      <c r="N104" s="1" t="s">
        <v>702</v>
      </c>
      <c r="O104" s="1" t="str">
        <f>INT(K104)&amp;"°"&amp;INT(MOD(K104,1)*60)&amp;"'"&amp;
ROUND(MOD(MOD(K104,1)*60,1)*60,1)&amp;"""N"</f>
        <v>10°25'32.1"N</v>
      </c>
      <c r="P104" s="1" t="str">
        <f>INT(L104)&amp;"°"&amp;INT(MOD(L104,1)*60)&amp;"'"&amp;
ROUND(MOD(MOD(L104,1)*60,1)*60,1)&amp;"""E"</f>
        <v>106°8'18.1"E</v>
      </c>
      <c r="Q104" s="1" t="str">
        <f>O104 &amp; " " &amp; P104</f>
        <v>10°25'32.1"N 106°8'18.1"E</v>
      </c>
    </row>
    <row r="105" spans="1:17" ht="15.75" customHeight="1" x14ac:dyDescent="0.2">
      <c r="A105" s="1">
        <v>15</v>
      </c>
      <c r="B105" s="1" t="s">
        <v>81</v>
      </c>
      <c r="C105" s="1" t="s">
        <v>15</v>
      </c>
      <c r="D105" s="1" t="s">
        <v>16</v>
      </c>
      <c r="E105" s="1" t="s">
        <v>69</v>
      </c>
      <c r="F105" s="1" t="s">
        <v>70</v>
      </c>
      <c r="G105" s="1" t="s">
        <v>82</v>
      </c>
      <c r="H105" s="1" t="s">
        <v>83</v>
      </c>
      <c r="I105" s="1" t="s">
        <v>21</v>
      </c>
      <c r="J105" s="1" t="s">
        <v>22</v>
      </c>
      <c r="K105" s="2">
        <v>10.44688968</v>
      </c>
      <c r="L105" s="2">
        <v>107.22379678999999</v>
      </c>
      <c r="M105" s="1" t="s">
        <v>82</v>
      </c>
      <c r="N105" s="1" t="s">
        <v>73</v>
      </c>
      <c r="O105" s="1" t="str">
        <f>INT(K105)&amp;"°"&amp;INT(MOD(K105,1)*60)&amp;"'"&amp;
ROUND(MOD(MOD(K105,1)*60,1)*60,1)&amp;"""N"</f>
        <v>10°26'48.8"N</v>
      </c>
      <c r="P105" s="1" t="str">
        <f>INT(L105)&amp;"°"&amp;INT(MOD(L105,1)*60)&amp;"'"&amp;
ROUND(MOD(MOD(L105,1)*60,1)*60,1)&amp;"""E"</f>
        <v>107°13'25.7"E</v>
      </c>
      <c r="Q105" s="1" t="str">
        <f>O105 &amp; " " &amp; P105</f>
        <v>10°26'48.8"N 107°13'25.7"E</v>
      </c>
    </row>
    <row r="106" spans="1:17" ht="15.75" customHeight="1" x14ac:dyDescent="0.2">
      <c r="A106" s="1">
        <v>364</v>
      </c>
      <c r="B106" s="1" t="s">
        <v>1333</v>
      </c>
      <c r="C106" s="1" t="s">
        <v>15</v>
      </c>
      <c r="D106" s="1" t="s">
        <v>16</v>
      </c>
      <c r="E106" s="1" t="s">
        <v>1326</v>
      </c>
      <c r="F106" s="1" t="s">
        <v>1327</v>
      </c>
      <c r="G106" s="1" t="s">
        <v>1334</v>
      </c>
      <c r="H106" s="1" t="s">
        <v>1335</v>
      </c>
      <c r="I106" s="1" t="s">
        <v>21</v>
      </c>
      <c r="J106" s="1" t="s">
        <v>22</v>
      </c>
      <c r="K106" s="2">
        <v>10.451972720000001</v>
      </c>
      <c r="L106" s="2">
        <v>104.67260245999999</v>
      </c>
      <c r="M106" s="1" t="s">
        <v>1336</v>
      </c>
      <c r="N106" s="1" t="s">
        <v>18</v>
      </c>
      <c r="O106" s="1" t="str">
        <f>INT(K106)&amp;"°"&amp;INT(MOD(K106,1)*60)&amp;"'"&amp;
ROUND(MOD(MOD(K106,1)*60,1)*60,1)&amp;"""N"</f>
        <v>10°27'7.1"N</v>
      </c>
      <c r="P106" s="1" t="str">
        <f>INT(L106)&amp;"°"&amp;INT(MOD(L106,1)*60)&amp;"'"&amp;
ROUND(MOD(MOD(L106,1)*60,1)*60,1)&amp;"""E"</f>
        <v>104°40'21.4"E</v>
      </c>
      <c r="Q106" s="1" t="str">
        <f>O106 &amp; " " &amp; P106</f>
        <v>10°27'7.1"N 104°40'21.4"E</v>
      </c>
    </row>
    <row r="107" spans="1:17" ht="15.75" customHeight="1" x14ac:dyDescent="0.2">
      <c r="A107" s="1">
        <v>185</v>
      </c>
      <c r="B107" s="1" t="s">
        <v>706</v>
      </c>
      <c r="C107" s="1" t="s">
        <v>15</v>
      </c>
      <c r="D107" s="1" t="s">
        <v>16</v>
      </c>
      <c r="E107" s="1" t="s">
        <v>701</v>
      </c>
      <c r="F107" s="1" t="s">
        <v>702</v>
      </c>
      <c r="G107" s="1" t="s">
        <v>707</v>
      </c>
      <c r="H107" s="1" t="s">
        <v>704</v>
      </c>
      <c r="I107" s="1" t="s">
        <v>27</v>
      </c>
      <c r="J107" s="1" t="s">
        <v>28</v>
      </c>
      <c r="K107" s="2">
        <v>10.455725709999999</v>
      </c>
      <c r="L107" s="2">
        <v>105.61976642</v>
      </c>
      <c r="M107" s="1" t="s">
        <v>703</v>
      </c>
      <c r="N107" s="1" t="s">
        <v>702</v>
      </c>
      <c r="O107" s="1" t="str">
        <f>INT(K107)&amp;"°"&amp;INT(MOD(K107,1)*60)&amp;"'"&amp;
ROUND(MOD(MOD(K107,1)*60,1)*60,1)&amp;"""N"</f>
        <v>10°27'20.6"N</v>
      </c>
      <c r="P107" s="1" t="str">
        <f>INT(L107)&amp;"°"&amp;INT(MOD(L107,1)*60)&amp;"'"&amp;
ROUND(MOD(MOD(L107,1)*60,1)*60,1)&amp;"""E"</f>
        <v>105°37'11.2"E</v>
      </c>
      <c r="Q107" s="1" t="str">
        <f>O107 &amp; " " &amp; P107</f>
        <v>10°27'20.6"N 105°37'11.2"E</v>
      </c>
    </row>
    <row r="108" spans="1:17" ht="15.75" customHeight="1" x14ac:dyDescent="0.2">
      <c r="A108" s="1">
        <v>429</v>
      </c>
      <c r="B108" s="1" t="s">
        <v>1572</v>
      </c>
      <c r="C108" s="1" t="s">
        <v>15</v>
      </c>
      <c r="D108" s="1" t="s">
        <v>16</v>
      </c>
      <c r="E108" s="1" t="s">
        <v>1559</v>
      </c>
      <c r="F108" s="1" t="s">
        <v>1560</v>
      </c>
      <c r="G108" s="1" t="s">
        <v>35</v>
      </c>
      <c r="H108" s="1" t="s">
        <v>36</v>
      </c>
      <c r="I108" s="1" t="s">
        <v>21</v>
      </c>
      <c r="J108" s="1" t="s">
        <v>22</v>
      </c>
      <c r="K108" s="2">
        <v>10.459011909999999</v>
      </c>
      <c r="L108" s="2">
        <v>106.49423217</v>
      </c>
      <c r="M108" s="1" t="s">
        <v>1573</v>
      </c>
      <c r="N108" s="1" t="s">
        <v>1564</v>
      </c>
      <c r="O108" s="1" t="str">
        <f>INT(K108)&amp;"°"&amp;INT(MOD(K108,1)*60)&amp;"'"&amp;
ROUND(MOD(MOD(K108,1)*60,1)*60,1)&amp;"""N"</f>
        <v>10°27'32.4"N</v>
      </c>
      <c r="P108" s="1" t="str">
        <f>INT(L108)&amp;"°"&amp;INT(MOD(L108,1)*60)&amp;"'"&amp;
ROUND(MOD(MOD(L108,1)*60,1)*60,1)&amp;"""E"</f>
        <v>106°29'39.2"E</v>
      </c>
      <c r="Q108" s="1" t="str">
        <f>O108 &amp; " " &amp; P108</f>
        <v>10°27'32.4"N 106°29'39.2"E</v>
      </c>
    </row>
    <row r="109" spans="1:17" ht="15.75" customHeight="1" x14ac:dyDescent="0.2">
      <c r="A109" s="1">
        <v>5</v>
      </c>
      <c r="B109" s="1" t="s">
        <v>38</v>
      </c>
      <c r="C109" s="1" t="s">
        <v>15</v>
      </c>
      <c r="D109" s="1" t="s">
        <v>16</v>
      </c>
      <c r="E109" s="1" t="s">
        <v>17</v>
      </c>
      <c r="F109" s="1" t="s">
        <v>18</v>
      </c>
      <c r="G109" s="1" t="s">
        <v>39</v>
      </c>
      <c r="H109" s="1" t="s">
        <v>40</v>
      </c>
      <c r="I109" s="1" t="s">
        <v>21</v>
      </c>
      <c r="J109" s="1" t="s">
        <v>22</v>
      </c>
      <c r="K109" s="2">
        <v>10.47493087</v>
      </c>
      <c r="L109" s="2">
        <v>105.46137319</v>
      </c>
      <c r="M109" s="1" t="s">
        <v>41</v>
      </c>
      <c r="N109" s="1" t="s">
        <v>18</v>
      </c>
      <c r="O109" s="1" t="str">
        <f>INT(K109)&amp;"°"&amp;INT(MOD(K109,1)*60)&amp;"'"&amp;
ROUND(MOD(MOD(K109,1)*60,1)*60,1)&amp;"""N"</f>
        <v>10°28'29.8"N</v>
      </c>
      <c r="P109" s="1" t="str">
        <f>INT(L109)&amp;"°"&amp;INT(MOD(L109,1)*60)&amp;"'"&amp;
ROUND(MOD(MOD(L109,1)*60,1)*60,1)&amp;"""E"</f>
        <v>105°27'40.9"E</v>
      </c>
      <c r="Q109" s="1" t="str">
        <f>O109 &amp; " " &amp; P109</f>
        <v>10°28'29.8"N 105°27'40.9"E</v>
      </c>
    </row>
    <row r="110" spans="1:17" ht="15.75" customHeight="1" x14ac:dyDescent="0.2">
      <c r="A110" s="1">
        <v>184</v>
      </c>
      <c r="B110" s="1" t="s">
        <v>700</v>
      </c>
      <c r="C110" s="1" t="s">
        <v>15</v>
      </c>
      <c r="D110" s="1" t="s">
        <v>16</v>
      </c>
      <c r="E110" s="1" t="s">
        <v>701</v>
      </c>
      <c r="F110" s="1" t="s">
        <v>702</v>
      </c>
      <c r="G110" s="1" t="s">
        <v>703</v>
      </c>
      <c r="H110" s="1" t="s">
        <v>704</v>
      </c>
      <c r="I110" s="1" t="s">
        <v>21</v>
      </c>
      <c r="J110" s="1" t="s">
        <v>22</v>
      </c>
      <c r="K110" s="2">
        <v>10.488756370000001</v>
      </c>
      <c r="L110" s="2">
        <v>105.70507351000001</v>
      </c>
      <c r="M110" s="1" t="s">
        <v>705</v>
      </c>
      <c r="N110" s="1" t="s">
        <v>702</v>
      </c>
      <c r="O110" s="1" t="str">
        <f>INT(K110)&amp;"°"&amp;INT(MOD(K110,1)*60)&amp;"'"&amp;
ROUND(MOD(MOD(K110,1)*60,1)*60,1)&amp;"""N"</f>
        <v>10°29'19.5"N</v>
      </c>
      <c r="P110" s="1" t="str">
        <f>INT(L110)&amp;"°"&amp;INT(MOD(L110,1)*60)&amp;"'"&amp;
ROUND(MOD(MOD(L110,1)*60,1)*60,1)&amp;"""E"</f>
        <v>105°42'18.3"E</v>
      </c>
      <c r="Q110" s="1" t="str">
        <f>O110 &amp; " " &amp; P110</f>
        <v>10°29'19.5"N 105°42'18.3"E</v>
      </c>
    </row>
    <row r="111" spans="1:17" ht="15.75" customHeight="1" x14ac:dyDescent="0.2">
      <c r="A111" s="1">
        <v>14</v>
      </c>
      <c r="B111" s="1" t="s">
        <v>78</v>
      </c>
      <c r="C111" s="1" t="s">
        <v>15</v>
      </c>
      <c r="D111" s="1" t="s">
        <v>16</v>
      </c>
      <c r="E111" s="1" t="s">
        <v>69</v>
      </c>
      <c r="F111" s="1" t="s">
        <v>70</v>
      </c>
      <c r="G111" s="1" t="s">
        <v>79</v>
      </c>
      <c r="H111" s="1" t="s">
        <v>80</v>
      </c>
      <c r="I111" s="1" t="s">
        <v>21</v>
      </c>
      <c r="J111" s="1" t="s">
        <v>22</v>
      </c>
      <c r="K111" s="2">
        <v>10.49504054</v>
      </c>
      <c r="L111" s="2">
        <v>107.30231421000001</v>
      </c>
      <c r="M111" s="1" t="s">
        <v>79</v>
      </c>
      <c r="N111" s="1" t="s">
        <v>73</v>
      </c>
      <c r="O111" s="1" t="str">
        <f>INT(K111)&amp;"°"&amp;INT(MOD(K111,1)*60)&amp;"'"&amp;
ROUND(MOD(MOD(K111,1)*60,1)*60,1)&amp;"""N"</f>
        <v>10°29'42.1"N</v>
      </c>
      <c r="P111" s="1" t="str">
        <f>INT(L111)&amp;"°"&amp;INT(MOD(L111,1)*60)&amp;"'"&amp;
ROUND(MOD(MOD(L111,1)*60,1)*60,1)&amp;"""E"</f>
        <v>107°18'8.3"E</v>
      </c>
      <c r="Q111" s="1" t="str">
        <f>O111 &amp; " " &amp; P111</f>
        <v>10°29'42.1"N 107°18'8.3"E</v>
      </c>
    </row>
    <row r="112" spans="1:17" ht="15.75" customHeight="1" x14ac:dyDescent="0.2">
      <c r="A112" s="1">
        <v>12</v>
      </c>
      <c r="B112" s="1" t="s">
        <v>68</v>
      </c>
      <c r="C112" s="1" t="s">
        <v>15</v>
      </c>
      <c r="D112" s="1" t="s">
        <v>16</v>
      </c>
      <c r="E112" s="1" t="s">
        <v>69</v>
      </c>
      <c r="F112" s="1" t="s">
        <v>70</v>
      </c>
      <c r="G112" s="1" t="s">
        <v>71</v>
      </c>
      <c r="H112" s="1" t="s">
        <v>72</v>
      </c>
      <c r="I112" s="1" t="s">
        <v>27</v>
      </c>
      <c r="J112" s="1" t="s">
        <v>28</v>
      </c>
      <c r="K112" s="2">
        <v>10.50885207</v>
      </c>
      <c r="L112" s="2">
        <v>107.17980224999999</v>
      </c>
      <c r="M112" s="1" t="s">
        <v>71</v>
      </c>
      <c r="N112" s="1" t="s">
        <v>73</v>
      </c>
      <c r="O112" s="1" t="str">
        <f>INT(K112)&amp;"°"&amp;INT(MOD(K112,1)*60)&amp;"'"&amp;
ROUND(MOD(MOD(K112,1)*60,1)*60,1)&amp;"""N"</f>
        <v>10°30'31.9"N</v>
      </c>
      <c r="P112" s="1" t="str">
        <f>INT(L112)&amp;"°"&amp;INT(MOD(L112,1)*60)&amp;"'"&amp;
ROUND(MOD(MOD(L112,1)*60,1)*60,1)&amp;"""E"</f>
        <v>107°10'47.3"E</v>
      </c>
      <c r="Q112" s="1" t="str">
        <f>O112 &amp; " " &amp; P112</f>
        <v>10°30'31.9"N 107°10'47.3"E</v>
      </c>
    </row>
    <row r="113" spans="1:17" ht="15.75" customHeight="1" x14ac:dyDescent="0.2">
      <c r="A113" s="1">
        <v>311</v>
      </c>
      <c r="B113" s="1" t="s">
        <v>1144</v>
      </c>
      <c r="C113" s="1" t="s">
        <v>15</v>
      </c>
      <c r="D113" s="1" t="s">
        <v>16</v>
      </c>
      <c r="E113" s="1" t="s">
        <v>1133</v>
      </c>
      <c r="F113" s="1" t="s">
        <v>73</v>
      </c>
      <c r="G113" s="1" t="s">
        <v>1145</v>
      </c>
      <c r="H113" s="1" t="s">
        <v>1146</v>
      </c>
      <c r="I113" s="1" t="s">
        <v>21</v>
      </c>
      <c r="J113" s="1" t="s">
        <v>22</v>
      </c>
      <c r="K113" s="2">
        <v>10.510598290000001</v>
      </c>
      <c r="L113" s="2">
        <v>106.87455558000001</v>
      </c>
      <c r="M113" s="1" t="s">
        <v>1145</v>
      </c>
      <c r="N113" s="1" t="s">
        <v>73</v>
      </c>
      <c r="O113" s="1" t="str">
        <f>INT(K113)&amp;"°"&amp;INT(MOD(K113,1)*60)&amp;"'"&amp;
ROUND(MOD(MOD(K113,1)*60,1)*60,1)&amp;"""N"</f>
        <v>10°30'38.2"N</v>
      </c>
      <c r="P113" s="1" t="str">
        <f>INT(L113)&amp;"°"&amp;INT(MOD(L113,1)*60)&amp;"'"&amp;
ROUND(MOD(MOD(L113,1)*60,1)*60,1)&amp;"""E"</f>
        <v>106°52'28.4"E</v>
      </c>
      <c r="Q113" s="1" t="str">
        <f>O113 &amp; " " &amp; P113</f>
        <v>10°30'38.2"N 106°52'28.4"E</v>
      </c>
    </row>
    <row r="114" spans="1:17" ht="15.75" customHeight="1" x14ac:dyDescent="0.2">
      <c r="A114" s="1">
        <v>668</v>
      </c>
      <c r="B114" s="1" t="s">
        <v>2413</v>
      </c>
      <c r="C114" s="1" t="s">
        <v>15</v>
      </c>
      <c r="D114" s="1" t="s">
        <v>16</v>
      </c>
      <c r="E114" s="1" t="s">
        <v>2377</v>
      </c>
      <c r="F114" s="1" t="s">
        <v>2378</v>
      </c>
      <c r="G114" s="1" t="s">
        <v>87</v>
      </c>
      <c r="H114" s="1" t="s">
        <v>2414</v>
      </c>
      <c r="I114" s="1" t="s">
        <v>21</v>
      </c>
      <c r="J114" s="1" t="s">
        <v>22</v>
      </c>
      <c r="K114" s="2">
        <v>10.51827319</v>
      </c>
      <c r="L114" s="2">
        <v>106.22558918999999</v>
      </c>
      <c r="M114" s="1" t="s">
        <v>2415</v>
      </c>
      <c r="N114" s="1" t="s">
        <v>702</v>
      </c>
      <c r="O114" s="1" t="str">
        <f>INT(K114)&amp;"°"&amp;INT(MOD(K114,1)*60)&amp;"'"&amp;
ROUND(MOD(MOD(K114,1)*60,1)*60,1)&amp;"""N"</f>
        <v>10°31'5.8"N</v>
      </c>
      <c r="P114" s="1" t="str">
        <f>INT(L114)&amp;"°"&amp;INT(MOD(L114,1)*60)&amp;"'"&amp;
ROUND(MOD(MOD(L114,1)*60,1)*60,1)&amp;"""E"</f>
        <v>106°13'32.1"E</v>
      </c>
      <c r="Q114" s="1" t="str">
        <f>O114 &amp; " " &amp; P114</f>
        <v>10°31'5.8"N 106°13'32.1"E</v>
      </c>
    </row>
    <row r="115" spans="1:17" ht="15.75" customHeight="1" x14ac:dyDescent="0.2">
      <c r="A115" s="1">
        <v>99</v>
      </c>
      <c r="B115" s="1" t="s">
        <v>389</v>
      </c>
      <c r="C115" s="1" t="s">
        <v>15</v>
      </c>
      <c r="D115" s="1" t="s">
        <v>16</v>
      </c>
      <c r="E115" s="1" t="s">
        <v>364</v>
      </c>
      <c r="F115" s="1" t="s">
        <v>365</v>
      </c>
      <c r="G115" s="1" t="s">
        <v>390</v>
      </c>
      <c r="H115" s="1" t="s">
        <v>391</v>
      </c>
      <c r="I115" s="1" t="s">
        <v>21</v>
      </c>
      <c r="J115" s="1" t="s">
        <v>22</v>
      </c>
      <c r="K115" s="2">
        <v>10.52781508</v>
      </c>
      <c r="L115" s="2">
        <v>108.94495836</v>
      </c>
      <c r="M115" s="1" t="s">
        <v>392</v>
      </c>
      <c r="N115" s="1" t="s">
        <v>369</v>
      </c>
      <c r="O115" s="1" t="str">
        <f>INT(K115)&amp;"°"&amp;INT(MOD(K115,1)*60)&amp;"'"&amp;
ROUND(MOD(MOD(K115,1)*60,1)*60,1)&amp;"""N"</f>
        <v>10°31'40.1"N</v>
      </c>
      <c r="P115" s="1" t="str">
        <f>INT(L115)&amp;"°"&amp;INT(MOD(L115,1)*60)&amp;"'"&amp;
ROUND(MOD(MOD(L115,1)*60,1)*60,1)&amp;"""E"</f>
        <v>108°56'41.9"E</v>
      </c>
      <c r="Q115" s="1" t="str">
        <f>O115 &amp; " " &amp; P115</f>
        <v>10°31'40.1"N 108°56'41.9"E</v>
      </c>
    </row>
    <row r="116" spans="1:17" ht="15.75" customHeight="1" x14ac:dyDescent="0.2">
      <c r="A116" s="1">
        <v>427</v>
      </c>
      <c r="B116" s="1" t="s">
        <v>1565</v>
      </c>
      <c r="C116" s="1" t="s">
        <v>15</v>
      </c>
      <c r="D116" s="1" t="s">
        <v>16</v>
      </c>
      <c r="E116" s="1" t="s">
        <v>1559</v>
      </c>
      <c r="F116" s="1" t="s">
        <v>1560</v>
      </c>
      <c r="G116" s="1" t="s">
        <v>1566</v>
      </c>
      <c r="H116" s="1" t="s">
        <v>1567</v>
      </c>
      <c r="I116" s="1" t="s">
        <v>21</v>
      </c>
      <c r="J116" s="1" t="s">
        <v>22</v>
      </c>
      <c r="K116" s="2">
        <v>10.53153831</v>
      </c>
      <c r="L116" s="2">
        <v>106.60092418000001</v>
      </c>
      <c r="M116" s="1" t="s">
        <v>1568</v>
      </c>
      <c r="N116" s="1" t="s">
        <v>1564</v>
      </c>
      <c r="O116" s="1" t="str">
        <f>INT(K116)&amp;"°"&amp;INT(MOD(K116,1)*60)&amp;"'"&amp;
ROUND(MOD(MOD(K116,1)*60,1)*60,1)&amp;"""N"</f>
        <v>10°31'53.5"N</v>
      </c>
      <c r="P116" s="1" t="str">
        <f>INT(L116)&amp;"°"&amp;INT(MOD(L116,1)*60)&amp;"'"&amp;
ROUND(MOD(MOD(L116,1)*60,1)*60,1)&amp;"""E"</f>
        <v>106°36'3.3"E</v>
      </c>
      <c r="Q116" s="1" t="str">
        <f>O116 &amp; " " &amp; P116</f>
        <v>10°31'53.5"N 106°36'3.3"E</v>
      </c>
    </row>
    <row r="117" spans="1:17" ht="15.75" customHeight="1" x14ac:dyDescent="0.2">
      <c r="A117" s="1">
        <v>434</v>
      </c>
      <c r="B117" s="1" t="s">
        <v>1590</v>
      </c>
      <c r="C117" s="1" t="s">
        <v>15</v>
      </c>
      <c r="D117" s="1" t="s">
        <v>16</v>
      </c>
      <c r="E117" s="1" t="s">
        <v>1559</v>
      </c>
      <c r="F117" s="1" t="s">
        <v>1560</v>
      </c>
      <c r="G117" s="1" t="s">
        <v>55</v>
      </c>
      <c r="H117" s="1" t="s">
        <v>1591</v>
      </c>
      <c r="I117" s="1" t="s">
        <v>27</v>
      </c>
      <c r="J117" s="1" t="s">
        <v>28</v>
      </c>
      <c r="K117" s="2">
        <v>10.532641529999999</v>
      </c>
      <c r="L117" s="2">
        <v>106.40274884999999</v>
      </c>
      <c r="M117" s="1" t="s">
        <v>1560</v>
      </c>
      <c r="N117" s="1" t="s">
        <v>1564</v>
      </c>
      <c r="O117" s="1" t="str">
        <f>INT(K117)&amp;"°"&amp;INT(MOD(K117,1)*60)&amp;"'"&amp;
ROUND(MOD(MOD(K117,1)*60,1)*60,1)&amp;"""N"</f>
        <v>10°31'57.5"N</v>
      </c>
      <c r="P117" s="1" t="str">
        <f>INT(L117)&amp;"°"&amp;INT(MOD(L117,1)*60)&amp;"'"&amp;
ROUND(MOD(MOD(L117,1)*60,1)*60,1)&amp;"""E"</f>
        <v>106°24'9.9"E</v>
      </c>
      <c r="Q117" s="1" t="str">
        <f>O117 &amp; " " &amp; P117</f>
        <v>10°31'57.5"N 106°24'9.9"E</v>
      </c>
    </row>
    <row r="118" spans="1:17" ht="15.75" customHeight="1" x14ac:dyDescent="0.2">
      <c r="A118" s="1">
        <v>437</v>
      </c>
      <c r="B118" s="1" t="s">
        <v>1596</v>
      </c>
      <c r="C118" s="1" t="s">
        <v>15</v>
      </c>
      <c r="D118" s="1" t="s">
        <v>16</v>
      </c>
      <c r="E118" s="1" t="s">
        <v>1559</v>
      </c>
      <c r="F118" s="1" t="s">
        <v>1560</v>
      </c>
      <c r="G118" s="1" t="s">
        <v>1597</v>
      </c>
      <c r="H118" s="1" t="s">
        <v>1598</v>
      </c>
      <c r="I118" s="1" t="s">
        <v>21</v>
      </c>
      <c r="J118" s="1" t="s">
        <v>22</v>
      </c>
      <c r="K118" s="2">
        <v>10.53319269</v>
      </c>
      <c r="L118" s="2">
        <v>106.50813736000001</v>
      </c>
      <c r="M118" s="1" t="s">
        <v>1597</v>
      </c>
      <c r="N118" s="1" t="s">
        <v>1564</v>
      </c>
      <c r="O118" s="1" t="str">
        <f>INT(K118)&amp;"°"&amp;INT(MOD(K118,1)*60)&amp;"'"&amp;
ROUND(MOD(MOD(K118,1)*60,1)*60,1)&amp;"""N"</f>
        <v>10°31'59.5"N</v>
      </c>
      <c r="P118" s="1" t="str">
        <f>INT(L118)&amp;"°"&amp;INT(MOD(L118,1)*60)&amp;"'"&amp;
ROUND(MOD(MOD(L118,1)*60,1)*60,1)&amp;"""E"</f>
        <v>106°30'29.3"E</v>
      </c>
      <c r="Q118" s="1" t="str">
        <f>O118 &amp; " " &amp; P118</f>
        <v>10°31'59.5"N 106°30'29.3"E</v>
      </c>
    </row>
    <row r="119" spans="1:17" ht="15.75" customHeight="1" x14ac:dyDescent="0.2">
      <c r="A119" s="1">
        <v>10</v>
      </c>
      <c r="B119" s="1" t="s">
        <v>60</v>
      </c>
      <c r="C119" s="1" t="s">
        <v>15</v>
      </c>
      <c r="D119" s="1" t="s">
        <v>16</v>
      </c>
      <c r="E119" s="1" t="s">
        <v>17</v>
      </c>
      <c r="F119" s="1" t="s">
        <v>18</v>
      </c>
      <c r="G119" s="1" t="s">
        <v>61</v>
      </c>
      <c r="H119" s="1" t="s">
        <v>62</v>
      </c>
      <c r="I119" s="1" t="s">
        <v>21</v>
      </c>
      <c r="J119" s="1" t="s">
        <v>22</v>
      </c>
      <c r="K119" s="2">
        <v>10.54740835</v>
      </c>
      <c r="L119" s="2">
        <v>105.0117059</v>
      </c>
      <c r="M119" s="1" t="s">
        <v>63</v>
      </c>
      <c r="N119" s="1" t="s">
        <v>18</v>
      </c>
      <c r="O119" s="1" t="str">
        <f>INT(K119)&amp;"°"&amp;INT(MOD(K119,1)*60)&amp;"'"&amp;
ROUND(MOD(MOD(K119,1)*60,1)*60,1)&amp;"""N"</f>
        <v>10°32'50.7"N</v>
      </c>
      <c r="P119" s="1" t="str">
        <f>INT(L119)&amp;"°"&amp;INT(MOD(L119,1)*60)&amp;"'"&amp;
ROUND(MOD(MOD(L119,1)*60,1)*60,1)&amp;"""E"</f>
        <v>105°0'42.1"E</v>
      </c>
      <c r="Q119" s="1" t="str">
        <f>O119 &amp; " " &amp; P119</f>
        <v>10°32'50.7"N 105°0'42.1"E</v>
      </c>
    </row>
    <row r="120" spans="1:17" ht="15.75" customHeight="1" x14ac:dyDescent="0.2">
      <c r="A120" s="1">
        <v>3</v>
      </c>
      <c r="B120" s="1" t="s">
        <v>30</v>
      </c>
      <c r="C120" s="1" t="s">
        <v>15</v>
      </c>
      <c r="D120" s="1" t="s">
        <v>16</v>
      </c>
      <c r="E120" s="1" t="s">
        <v>17</v>
      </c>
      <c r="F120" s="1" t="s">
        <v>18</v>
      </c>
      <c r="G120" s="1" t="s">
        <v>31</v>
      </c>
      <c r="H120" s="1" t="s">
        <v>32</v>
      </c>
      <c r="I120" s="1" t="s">
        <v>21</v>
      </c>
      <c r="J120" s="1" t="s">
        <v>22</v>
      </c>
      <c r="K120" s="2">
        <v>10.557594099999999</v>
      </c>
      <c r="L120" s="2">
        <v>105.17966147</v>
      </c>
      <c r="M120" s="1" t="s">
        <v>33</v>
      </c>
      <c r="N120" s="1" t="s">
        <v>18</v>
      </c>
      <c r="O120" s="1" t="str">
        <f>INT(K120)&amp;"°"&amp;INT(MOD(K120,1)*60)&amp;"'"&amp;
ROUND(MOD(MOD(K120,1)*60,1)*60,1)&amp;"""N"</f>
        <v>10°33'27.3"N</v>
      </c>
      <c r="P120" s="1" t="str">
        <f>INT(L120)&amp;"°"&amp;INT(MOD(L120,1)*60)&amp;"'"&amp;
ROUND(MOD(MOD(L120,1)*60,1)*60,1)&amp;"""E"</f>
        <v>105°10'46.8"E</v>
      </c>
      <c r="Q120" s="1" t="str">
        <f>O120 &amp; " " &amp; P120</f>
        <v>10°33'27.3"N 105°10'46.8"E</v>
      </c>
    </row>
    <row r="121" spans="1:17" ht="15.75" customHeight="1" x14ac:dyDescent="0.2">
      <c r="A121" s="1">
        <v>195</v>
      </c>
      <c r="B121" s="1" t="s">
        <v>736</v>
      </c>
      <c r="C121" s="1" t="s">
        <v>15</v>
      </c>
      <c r="D121" s="1" t="s">
        <v>16</v>
      </c>
      <c r="E121" s="1" t="s">
        <v>701</v>
      </c>
      <c r="F121" s="1" t="s">
        <v>702</v>
      </c>
      <c r="G121" s="1" t="s">
        <v>737</v>
      </c>
      <c r="H121" s="1" t="s">
        <v>738</v>
      </c>
      <c r="I121" s="1" t="s">
        <v>21</v>
      </c>
      <c r="J121" s="1" t="s">
        <v>22</v>
      </c>
      <c r="K121" s="2">
        <v>10.561977329999999</v>
      </c>
      <c r="L121" s="2">
        <v>105.79764625999999</v>
      </c>
      <c r="M121" s="1" t="s">
        <v>737</v>
      </c>
      <c r="N121" s="1" t="s">
        <v>702</v>
      </c>
      <c r="O121" s="1" t="str">
        <f>INT(K121)&amp;"°"&amp;INT(MOD(K121,1)*60)&amp;"'"&amp;
ROUND(MOD(MOD(K121,1)*60,1)*60,1)&amp;"""N"</f>
        <v>10°33'43.1"N</v>
      </c>
      <c r="P121" s="1" t="str">
        <f>INT(L121)&amp;"°"&amp;INT(MOD(L121,1)*60)&amp;"'"&amp;
ROUND(MOD(MOD(L121,1)*60,1)*60,1)&amp;"""E"</f>
        <v>105°47'51.5"E</v>
      </c>
      <c r="Q121" s="1" t="str">
        <f>O121 &amp; " " &amp; P121</f>
        <v>10°33'43.1"N 105°47'51.5"E</v>
      </c>
    </row>
    <row r="122" spans="1:17" ht="15.75" customHeight="1" x14ac:dyDescent="0.2">
      <c r="A122" s="1">
        <v>16</v>
      </c>
      <c r="B122" s="1" t="s">
        <v>84</v>
      </c>
      <c r="C122" s="1" t="s">
        <v>15</v>
      </c>
      <c r="D122" s="1" t="s">
        <v>16</v>
      </c>
      <c r="E122" s="1" t="s">
        <v>69</v>
      </c>
      <c r="F122" s="1" t="s">
        <v>70</v>
      </c>
      <c r="G122" s="1" t="s">
        <v>85</v>
      </c>
      <c r="H122" s="1" t="s">
        <v>86</v>
      </c>
      <c r="I122" s="1" t="s">
        <v>21</v>
      </c>
      <c r="J122" s="1" t="s">
        <v>22</v>
      </c>
      <c r="K122" s="2">
        <v>10.57674415</v>
      </c>
      <c r="L122" s="2">
        <v>107.08818214</v>
      </c>
      <c r="M122" s="1" t="s">
        <v>87</v>
      </c>
      <c r="N122" s="1" t="s">
        <v>73</v>
      </c>
      <c r="O122" s="1" t="str">
        <f>INT(K122)&amp;"°"&amp;INT(MOD(K122,1)*60)&amp;"'"&amp;
ROUND(MOD(MOD(K122,1)*60,1)*60,1)&amp;"""N"</f>
        <v>10°34'36.3"N</v>
      </c>
      <c r="P122" s="1" t="str">
        <f>INT(L122)&amp;"°"&amp;INT(MOD(L122,1)*60)&amp;"'"&amp;
ROUND(MOD(MOD(L122,1)*60,1)*60,1)&amp;"""E"</f>
        <v>107°5'17.5"E</v>
      </c>
      <c r="Q122" s="1" t="str">
        <f>O122 &amp; " " &amp; P122</f>
        <v>10°34'36.3"N 107°5'17.5"E</v>
      </c>
    </row>
    <row r="123" spans="1:17" ht="15.75" customHeight="1" x14ac:dyDescent="0.2">
      <c r="A123" s="1">
        <v>428</v>
      </c>
      <c r="B123" s="1" t="s">
        <v>1569</v>
      </c>
      <c r="C123" s="1" t="s">
        <v>15</v>
      </c>
      <c r="D123" s="1" t="s">
        <v>16</v>
      </c>
      <c r="E123" s="1" t="s">
        <v>1559</v>
      </c>
      <c r="F123" s="1" t="s">
        <v>1560</v>
      </c>
      <c r="G123" s="1" t="s">
        <v>1570</v>
      </c>
      <c r="H123" s="1" t="s">
        <v>1571</v>
      </c>
      <c r="I123" s="1" t="s">
        <v>21</v>
      </c>
      <c r="J123" s="1" t="s">
        <v>22</v>
      </c>
      <c r="K123" s="2">
        <v>10.58274619</v>
      </c>
      <c r="L123" s="2">
        <v>106.66863418</v>
      </c>
      <c r="M123" s="1" t="s">
        <v>1570</v>
      </c>
      <c r="N123" s="1" t="s">
        <v>1564</v>
      </c>
      <c r="O123" s="1" t="str">
        <f>INT(K123)&amp;"°"&amp;INT(MOD(K123,1)*60)&amp;"'"&amp;
ROUND(MOD(MOD(K123,1)*60,1)*60,1)&amp;"""N"</f>
        <v>10°34'57.9"N</v>
      </c>
      <c r="P123" s="1" t="str">
        <f>INT(L123)&amp;"°"&amp;INT(MOD(L123,1)*60)&amp;"'"&amp;
ROUND(MOD(MOD(L123,1)*60,1)*60,1)&amp;"""E"</f>
        <v>106°40'7.1"E</v>
      </c>
      <c r="Q123" s="1" t="str">
        <f>O123 &amp; " " &amp; P123</f>
        <v>10°34'57.9"N 106°40'7.1"E</v>
      </c>
    </row>
    <row r="124" spans="1:17" ht="15.75" customHeight="1" x14ac:dyDescent="0.2">
      <c r="A124" s="1">
        <v>194</v>
      </c>
      <c r="B124" s="1" t="s">
        <v>732</v>
      </c>
      <c r="C124" s="1" t="s">
        <v>15</v>
      </c>
      <c r="D124" s="1" t="s">
        <v>16</v>
      </c>
      <c r="E124" s="1" t="s">
        <v>701</v>
      </c>
      <c r="F124" s="1" t="s">
        <v>702</v>
      </c>
      <c r="G124" s="1" t="s">
        <v>733</v>
      </c>
      <c r="H124" s="1" t="s">
        <v>734</v>
      </c>
      <c r="I124" s="1" t="s">
        <v>21</v>
      </c>
      <c r="J124" s="1" t="s">
        <v>22</v>
      </c>
      <c r="K124" s="2">
        <v>10.609055010000001</v>
      </c>
      <c r="L124" s="2">
        <v>105.47346358999999</v>
      </c>
      <c r="M124" s="1" t="s">
        <v>735</v>
      </c>
      <c r="N124" s="1" t="s">
        <v>702</v>
      </c>
      <c r="O124" s="1" t="str">
        <f>INT(K124)&amp;"°"&amp;INT(MOD(K124,1)*60)&amp;"'"&amp;
ROUND(MOD(MOD(K124,1)*60,1)*60,1)&amp;"""N"</f>
        <v>10°36'32.6"N</v>
      </c>
      <c r="P124" s="1" t="str">
        <f>INT(L124)&amp;"°"&amp;INT(MOD(L124,1)*60)&amp;"'"&amp;
ROUND(MOD(MOD(L124,1)*60,1)*60,1)&amp;"""E"</f>
        <v>105°28'24.5"E</v>
      </c>
      <c r="Q124" s="1" t="str">
        <f>O124 &amp; " " &amp; P124</f>
        <v>10°36'32.6"N 105°28'24.5"E</v>
      </c>
    </row>
    <row r="125" spans="1:17" ht="15.75" customHeight="1" x14ac:dyDescent="0.2">
      <c r="A125" s="1">
        <v>436</v>
      </c>
      <c r="B125" s="1" t="s">
        <v>1594</v>
      </c>
      <c r="C125" s="1" t="s">
        <v>15</v>
      </c>
      <c r="D125" s="1" t="s">
        <v>16</v>
      </c>
      <c r="E125" s="1" t="s">
        <v>1559</v>
      </c>
      <c r="F125" s="1" t="s">
        <v>1560</v>
      </c>
      <c r="G125" s="1" t="s">
        <v>735</v>
      </c>
      <c r="H125" s="1" t="s">
        <v>86</v>
      </c>
      <c r="I125" s="1" t="s">
        <v>21</v>
      </c>
      <c r="J125" s="1" t="s">
        <v>22</v>
      </c>
      <c r="K125" s="2">
        <v>10.61387689</v>
      </c>
      <c r="L125" s="2">
        <v>105.96192124</v>
      </c>
      <c r="M125" s="1" t="s">
        <v>1595</v>
      </c>
      <c r="N125" s="1" t="s">
        <v>1564</v>
      </c>
      <c r="O125" s="1" t="str">
        <f>INT(K125)&amp;"°"&amp;INT(MOD(K125,1)*60)&amp;"'"&amp;
ROUND(MOD(MOD(K125,1)*60,1)*60,1)&amp;"""N"</f>
        <v>10°36'50"N</v>
      </c>
      <c r="P125" s="1" t="str">
        <f>INT(L125)&amp;"°"&amp;INT(MOD(L125,1)*60)&amp;"'"&amp;
ROUND(MOD(MOD(L125,1)*60,1)*60,1)&amp;"""E"</f>
        <v>105°57'42.9"E</v>
      </c>
      <c r="Q125" s="1" t="str">
        <f>O125 &amp; " " &amp; P125</f>
        <v>10°36'50"N 105°57'42.9"E</v>
      </c>
    </row>
    <row r="126" spans="1:17" ht="15.75" customHeight="1" x14ac:dyDescent="0.2">
      <c r="A126" s="1">
        <v>18</v>
      </c>
      <c r="B126" s="1" t="s">
        <v>92</v>
      </c>
      <c r="C126" s="1" t="s">
        <v>15</v>
      </c>
      <c r="D126" s="1" t="s">
        <v>16</v>
      </c>
      <c r="E126" s="1" t="s">
        <v>69</v>
      </c>
      <c r="F126" s="1" t="s">
        <v>70</v>
      </c>
      <c r="G126" s="1" t="s">
        <v>93</v>
      </c>
      <c r="H126" s="1" t="s">
        <v>94</v>
      </c>
      <c r="I126" s="1" t="s">
        <v>21</v>
      </c>
      <c r="J126" s="1" t="s">
        <v>22</v>
      </c>
      <c r="K126" s="2">
        <v>10.626274329999999</v>
      </c>
      <c r="L126" s="2">
        <v>107.4518174</v>
      </c>
      <c r="M126" s="1" t="s">
        <v>95</v>
      </c>
      <c r="N126" s="1" t="s">
        <v>73</v>
      </c>
      <c r="O126" s="1" t="str">
        <f>INT(K126)&amp;"°"&amp;INT(MOD(K126,1)*60)&amp;"'"&amp;
ROUND(MOD(MOD(K126,1)*60,1)*60,1)&amp;"""N"</f>
        <v>10°37'34.6"N</v>
      </c>
      <c r="P126" s="1" t="str">
        <f>INT(L126)&amp;"°"&amp;INT(MOD(L126,1)*60)&amp;"'"&amp;
ROUND(MOD(MOD(L126,1)*60,1)*60,1)&amp;"""E"</f>
        <v>107°27'6.5"E</v>
      </c>
      <c r="Q126" s="1" t="str">
        <f>O126 &amp; " " &amp; P126</f>
        <v>10°37'34.6"N 107°27'6.5"E</v>
      </c>
    </row>
    <row r="127" spans="1:17" ht="15.75" customHeight="1" x14ac:dyDescent="0.2">
      <c r="A127" s="1">
        <v>13</v>
      </c>
      <c r="B127" s="1" t="s">
        <v>74</v>
      </c>
      <c r="C127" s="1" t="s">
        <v>15</v>
      </c>
      <c r="D127" s="1" t="s">
        <v>16</v>
      </c>
      <c r="E127" s="1" t="s">
        <v>69</v>
      </c>
      <c r="F127" s="1" t="s">
        <v>70</v>
      </c>
      <c r="G127" s="1" t="s">
        <v>75</v>
      </c>
      <c r="H127" s="1" t="s">
        <v>76</v>
      </c>
      <c r="I127" s="1" t="s">
        <v>21</v>
      </c>
      <c r="J127" s="1" t="s">
        <v>22</v>
      </c>
      <c r="K127" s="2">
        <v>10.653365470000001</v>
      </c>
      <c r="L127" s="2">
        <v>107.24815291</v>
      </c>
      <c r="M127" s="1" t="s">
        <v>77</v>
      </c>
      <c r="N127" s="1" t="s">
        <v>73</v>
      </c>
      <c r="O127" s="1" t="str">
        <f>INT(K127)&amp;"°"&amp;INT(MOD(K127,1)*60)&amp;"'"&amp;
ROUND(MOD(MOD(K127,1)*60,1)*60,1)&amp;"""N"</f>
        <v>10°39'12.1"N</v>
      </c>
      <c r="P127" s="1" t="str">
        <f>INT(L127)&amp;"°"&amp;INT(MOD(L127,1)*60)&amp;"'"&amp;
ROUND(MOD(MOD(L127,1)*60,1)*60,1)&amp;"""E"</f>
        <v>107°14'53.4"E</v>
      </c>
      <c r="Q127" s="1" t="str">
        <f>O127 &amp; " " &amp; P127</f>
        <v>10°39'12.1"N 107°14'53.4"E</v>
      </c>
    </row>
    <row r="128" spans="1:17" ht="15.75" customHeight="1" x14ac:dyDescent="0.2">
      <c r="A128" s="1">
        <v>315</v>
      </c>
      <c r="B128" s="1" t="s">
        <v>1157</v>
      </c>
      <c r="C128" s="1" t="s">
        <v>15</v>
      </c>
      <c r="D128" s="1" t="s">
        <v>16</v>
      </c>
      <c r="E128" s="1" t="s">
        <v>1133</v>
      </c>
      <c r="F128" s="1" t="s">
        <v>73</v>
      </c>
      <c r="G128" s="1" t="s">
        <v>1158</v>
      </c>
      <c r="H128" s="1" t="s">
        <v>1159</v>
      </c>
      <c r="I128" s="1" t="s">
        <v>21</v>
      </c>
      <c r="J128" s="1" t="s">
        <v>22</v>
      </c>
      <c r="K128" s="2">
        <v>10.654186559999999</v>
      </c>
      <c r="L128" s="2">
        <v>106.73039969</v>
      </c>
      <c r="M128" s="1" t="s">
        <v>1160</v>
      </c>
      <c r="N128" s="1" t="s">
        <v>73</v>
      </c>
      <c r="O128" s="1" t="str">
        <f>INT(K128)&amp;"°"&amp;INT(MOD(K128,1)*60)&amp;"'"&amp;
ROUND(MOD(MOD(K128,1)*60,1)*60,1)&amp;"""N"</f>
        <v>10°39'15.1"N</v>
      </c>
      <c r="P128" s="1" t="str">
        <f>INT(L128)&amp;"°"&amp;INT(MOD(L128,1)*60)&amp;"'"&amp;
ROUND(MOD(MOD(L128,1)*60,1)*60,1)&amp;"""E"</f>
        <v>106°43'49.4"E</v>
      </c>
      <c r="Q128" s="1" t="str">
        <f>O128 &amp; " " &amp; P128</f>
        <v>10°39'15.1"N 106°43'49.4"E</v>
      </c>
    </row>
    <row r="129" spans="1:17" ht="15.75" customHeight="1" x14ac:dyDescent="0.2">
      <c r="A129" s="1">
        <v>7</v>
      </c>
      <c r="B129" s="1" t="s">
        <v>46</v>
      </c>
      <c r="C129" s="1" t="s">
        <v>15</v>
      </c>
      <c r="D129" s="1" t="s">
        <v>16</v>
      </c>
      <c r="E129" s="1" t="s">
        <v>17</v>
      </c>
      <c r="F129" s="1" t="s">
        <v>18</v>
      </c>
      <c r="G129" s="1" t="s">
        <v>47</v>
      </c>
      <c r="H129" s="1" t="s">
        <v>48</v>
      </c>
      <c r="I129" s="1" t="s">
        <v>21</v>
      </c>
      <c r="J129" s="1" t="s">
        <v>22</v>
      </c>
      <c r="K129" s="2">
        <v>10.654788959999999</v>
      </c>
      <c r="L129" s="2">
        <v>105.27584297999999</v>
      </c>
      <c r="M129" s="1" t="s">
        <v>49</v>
      </c>
      <c r="N129" s="1" t="s">
        <v>18</v>
      </c>
      <c r="O129" s="1" t="str">
        <f>INT(K129)&amp;"°"&amp;INT(MOD(K129,1)*60)&amp;"'"&amp;
ROUND(MOD(MOD(K129,1)*60,1)*60,1)&amp;"""N"</f>
        <v>10°39'17.2"N</v>
      </c>
      <c r="P129" s="1" t="str">
        <f>INT(L129)&amp;"°"&amp;INT(MOD(L129,1)*60)&amp;"'"&amp;
ROUND(MOD(MOD(L129,1)*60,1)*60,1)&amp;"""E"</f>
        <v>105°16'33"E</v>
      </c>
      <c r="Q129" s="1" t="str">
        <f>O129 &amp; " " &amp; P129</f>
        <v>10°39'17.2"N 105°16'33"E</v>
      </c>
    </row>
    <row r="130" spans="1:17" ht="15.75" customHeight="1" x14ac:dyDescent="0.2">
      <c r="A130" s="1">
        <v>439</v>
      </c>
      <c r="B130" s="1" t="s">
        <v>1603</v>
      </c>
      <c r="C130" s="1" t="s">
        <v>15</v>
      </c>
      <c r="D130" s="1" t="s">
        <v>16</v>
      </c>
      <c r="E130" s="1" t="s">
        <v>1559</v>
      </c>
      <c r="F130" s="1" t="s">
        <v>1560</v>
      </c>
      <c r="G130" s="1" t="s">
        <v>1604</v>
      </c>
      <c r="H130" s="1" t="s">
        <v>1605</v>
      </c>
      <c r="I130" s="1" t="s">
        <v>21</v>
      </c>
      <c r="J130" s="1" t="s">
        <v>22</v>
      </c>
      <c r="K130" s="2">
        <v>10.6605671</v>
      </c>
      <c r="L130" s="2">
        <v>106.33461185</v>
      </c>
      <c r="M130" s="1" t="s">
        <v>1606</v>
      </c>
      <c r="N130" s="1" t="s">
        <v>1564</v>
      </c>
      <c r="O130" s="1" t="str">
        <f>INT(K130)&amp;"°"&amp;INT(MOD(K130,1)*60)&amp;"'"&amp;
ROUND(MOD(MOD(K130,1)*60,1)*60,1)&amp;"""N"</f>
        <v>10°39'38"N</v>
      </c>
      <c r="P130" s="1" t="str">
        <f>INT(L130)&amp;"°"&amp;INT(MOD(L130,1)*60)&amp;"'"&amp;
ROUND(MOD(MOD(L130,1)*60,1)*60,1)&amp;"""E"</f>
        <v>106°20'4.6"E</v>
      </c>
      <c r="Q130" s="1" t="str">
        <f>O130 &amp; " " &amp; P130</f>
        <v>10°39'38"N 106°20'4.6"E</v>
      </c>
    </row>
    <row r="131" spans="1:17" ht="15.75" customHeight="1" x14ac:dyDescent="0.2">
      <c r="A131" s="1">
        <v>438</v>
      </c>
      <c r="B131" s="1" t="s">
        <v>1599</v>
      </c>
      <c r="C131" s="1" t="s">
        <v>15</v>
      </c>
      <c r="D131" s="1" t="s">
        <v>16</v>
      </c>
      <c r="E131" s="1" t="s">
        <v>1559</v>
      </c>
      <c r="F131" s="1" t="s">
        <v>1560</v>
      </c>
      <c r="G131" s="1" t="s">
        <v>1600</v>
      </c>
      <c r="H131" s="1" t="s">
        <v>1601</v>
      </c>
      <c r="I131" s="1" t="s">
        <v>21</v>
      </c>
      <c r="J131" s="1" t="s">
        <v>22</v>
      </c>
      <c r="K131" s="2">
        <v>10.67383695</v>
      </c>
      <c r="L131" s="2">
        <v>106.1751234</v>
      </c>
      <c r="M131" s="1" t="s">
        <v>1602</v>
      </c>
      <c r="N131" s="1" t="s">
        <v>1564</v>
      </c>
      <c r="O131" s="1" t="str">
        <f>INT(K131)&amp;"°"&amp;INT(MOD(K131,1)*60)&amp;"'"&amp;
ROUND(MOD(MOD(K131,1)*60,1)*60,1)&amp;"""N"</f>
        <v>10°40'25.8"N</v>
      </c>
      <c r="P131" s="1" t="str">
        <f>INT(L131)&amp;"°"&amp;INT(MOD(L131,1)*60)&amp;"'"&amp;
ROUND(MOD(MOD(L131,1)*60,1)*60,1)&amp;"""E"</f>
        <v>106°10'30.4"E</v>
      </c>
      <c r="Q131" s="1" t="str">
        <f>O131 &amp; " " &amp; P131</f>
        <v>10°40'25.8"N 106°10'30.4"E</v>
      </c>
    </row>
    <row r="132" spans="1:17" ht="15.75" customHeight="1" x14ac:dyDescent="0.2">
      <c r="A132" s="1">
        <v>2</v>
      </c>
      <c r="B132" s="1" t="s">
        <v>24</v>
      </c>
      <c r="C132" s="1" t="s">
        <v>15</v>
      </c>
      <c r="D132" s="1" t="s">
        <v>16</v>
      </c>
      <c r="E132" s="1" t="s">
        <v>17</v>
      </c>
      <c r="F132" s="1" t="s">
        <v>18</v>
      </c>
      <c r="G132" s="1" t="s">
        <v>25</v>
      </c>
      <c r="H132" s="1" t="s">
        <v>26</v>
      </c>
      <c r="I132" s="1" t="s">
        <v>27</v>
      </c>
      <c r="J132" s="1" t="s">
        <v>28</v>
      </c>
      <c r="K132" s="2">
        <v>10.67418037</v>
      </c>
      <c r="L132" s="2">
        <v>105.08749115000001</v>
      </c>
      <c r="M132" s="1" t="s">
        <v>29</v>
      </c>
      <c r="N132" s="1" t="s">
        <v>18</v>
      </c>
      <c r="O132" s="1" t="str">
        <f>INT(K132)&amp;"°"&amp;INT(MOD(K132,1)*60)&amp;"'"&amp;
ROUND(MOD(MOD(K132,1)*60,1)*60,1)&amp;"""N"</f>
        <v>10°40'27"N</v>
      </c>
      <c r="P132" s="1" t="str">
        <f>INT(L132)&amp;"°"&amp;INT(MOD(L132,1)*60)&amp;"'"&amp;
ROUND(MOD(MOD(L132,1)*60,1)*60,1)&amp;"""E"</f>
        <v>105°5'15"E</v>
      </c>
      <c r="Q132" s="1" t="str">
        <f>O132 &amp; " " &amp; P132</f>
        <v>10°40'27"N 105°5'15"E</v>
      </c>
    </row>
    <row r="133" spans="1:17" ht="15.75" customHeight="1" x14ac:dyDescent="0.2">
      <c r="A133" s="1">
        <v>426</v>
      </c>
      <c r="B133" s="1" t="s">
        <v>1558</v>
      </c>
      <c r="C133" s="1" t="s">
        <v>15</v>
      </c>
      <c r="D133" s="1" t="s">
        <v>16</v>
      </c>
      <c r="E133" s="1" t="s">
        <v>1559</v>
      </c>
      <c r="F133" s="1" t="s">
        <v>1560</v>
      </c>
      <c r="G133" s="1" t="s">
        <v>1561</v>
      </c>
      <c r="H133" s="1" t="s">
        <v>1562</v>
      </c>
      <c r="I133" s="1" t="s">
        <v>21</v>
      </c>
      <c r="J133" s="1" t="s">
        <v>22</v>
      </c>
      <c r="K133" s="2">
        <v>10.691819860000001</v>
      </c>
      <c r="L133" s="2">
        <v>106.45103951</v>
      </c>
      <c r="M133" s="1" t="s">
        <v>1563</v>
      </c>
      <c r="N133" s="1" t="s">
        <v>1564</v>
      </c>
      <c r="O133" s="1" t="str">
        <f>INT(K133)&amp;"°"&amp;INT(MOD(K133,1)*60)&amp;"'"&amp;
ROUND(MOD(MOD(K133,1)*60,1)*60,1)&amp;"""N"</f>
        <v>10°41'30.6"N</v>
      </c>
      <c r="P133" s="1" t="str">
        <f>INT(L133)&amp;"°"&amp;INT(MOD(L133,1)*60)&amp;"'"&amp;
ROUND(MOD(MOD(L133,1)*60,1)*60,1)&amp;"""E"</f>
        <v>106°27'3.7"E</v>
      </c>
      <c r="Q133" s="1" t="str">
        <f>O133 &amp; " " &amp; P133</f>
        <v>10°41'30.6"N 106°27'3.7"E</v>
      </c>
    </row>
    <row r="134" spans="1:17" ht="15.75" customHeight="1" x14ac:dyDescent="0.2">
      <c r="A134" s="1">
        <v>178</v>
      </c>
      <c r="B134" s="1" t="s">
        <v>677</v>
      </c>
      <c r="C134" s="1" t="s">
        <v>15</v>
      </c>
      <c r="D134" s="1" t="s">
        <v>16</v>
      </c>
      <c r="E134" s="1" t="s">
        <v>660</v>
      </c>
      <c r="F134" s="1" t="s">
        <v>330</v>
      </c>
      <c r="G134" s="1" t="s">
        <v>678</v>
      </c>
      <c r="H134" s="1" t="s">
        <v>679</v>
      </c>
      <c r="I134" s="1" t="s">
        <v>21</v>
      </c>
      <c r="J134" s="1" t="s">
        <v>22</v>
      </c>
      <c r="K134" s="2">
        <v>10.692083</v>
      </c>
      <c r="L134" s="2">
        <v>106.88781139</v>
      </c>
      <c r="M134" s="1" t="s">
        <v>680</v>
      </c>
      <c r="N134" s="1" t="s">
        <v>330</v>
      </c>
      <c r="O134" s="1" t="str">
        <f>INT(K134)&amp;"°"&amp;INT(MOD(K134,1)*60)&amp;"'"&amp;
ROUND(MOD(MOD(K134,1)*60,1)*60,1)&amp;"""N"</f>
        <v>10°41'31.5"N</v>
      </c>
      <c r="P134" s="1" t="str">
        <f>INT(L134)&amp;"°"&amp;INT(MOD(L134,1)*60)&amp;"'"&amp;
ROUND(MOD(MOD(L134,1)*60,1)*60,1)&amp;"""E"</f>
        <v>106°53'16.1"E</v>
      </c>
      <c r="Q134" s="1" t="str">
        <f>O134 &amp; " " &amp; P134</f>
        <v>10°41'31.5"N 106°53'16.1"E</v>
      </c>
    </row>
    <row r="135" spans="1:17" ht="15.75" customHeight="1" x14ac:dyDescent="0.2">
      <c r="A135" s="1">
        <v>97</v>
      </c>
      <c r="B135" s="1" t="s">
        <v>383</v>
      </c>
      <c r="C135" s="1" t="s">
        <v>15</v>
      </c>
      <c r="D135" s="1" t="s">
        <v>16</v>
      </c>
      <c r="E135" s="1" t="s">
        <v>364</v>
      </c>
      <c r="F135" s="1" t="s">
        <v>365</v>
      </c>
      <c r="G135" s="1" t="s">
        <v>384</v>
      </c>
      <c r="H135" s="1" t="s">
        <v>384</v>
      </c>
      <c r="I135" s="1" t="s">
        <v>53</v>
      </c>
      <c r="J135" s="1" t="s">
        <v>54</v>
      </c>
      <c r="K135" s="2">
        <v>10.71899567</v>
      </c>
      <c r="L135" s="2">
        <v>107.78575712999999</v>
      </c>
      <c r="M135" s="1" t="s">
        <v>384</v>
      </c>
      <c r="N135" s="1" t="s">
        <v>369</v>
      </c>
      <c r="O135" s="1" t="str">
        <f>INT(K135)&amp;"°"&amp;INT(MOD(K135,1)*60)&amp;"'"&amp;
ROUND(MOD(MOD(K135,1)*60,1)*60,1)&amp;"""N"</f>
        <v>10°43'8.4"N</v>
      </c>
      <c r="P135" s="1" t="str">
        <f>INT(L135)&amp;"°"&amp;INT(MOD(L135,1)*60)&amp;"'"&amp;
ROUND(MOD(MOD(L135,1)*60,1)*60,1)&amp;"""E"</f>
        <v>107°47'8.7"E</v>
      </c>
      <c r="Q135" s="1" t="str">
        <f>O135 &amp; " " &amp; P135</f>
        <v>10°43'8.4"N 107°47'8.7"E</v>
      </c>
    </row>
    <row r="136" spans="1:17" ht="15.75" customHeight="1" x14ac:dyDescent="0.2">
      <c r="A136" s="1">
        <v>327</v>
      </c>
      <c r="B136" s="1" t="s">
        <v>1204</v>
      </c>
      <c r="C136" s="1" t="s">
        <v>15</v>
      </c>
      <c r="D136" s="1" t="s">
        <v>16</v>
      </c>
      <c r="E136" s="1" t="s">
        <v>1133</v>
      </c>
      <c r="F136" s="1" t="s">
        <v>73</v>
      </c>
      <c r="G136" s="1" t="s">
        <v>1205</v>
      </c>
      <c r="H136" s="1" t="s">
        <v>1206</v>
      </c>
      <c r="I136" s="1" t="s">
        <v>434</v>
      </c>
      <c r="J136" s="1" t="s">
        <v>435</v>
      </c>
      <c r="K136" s="2">
        <v>10.725577660000001</v>
      </c>
      <c r="L136" s="2">
        <v>106.64198294000001</v>
      </c>
      <c r="M136" s="1" t="s">
        <v>1207</v>
      </c>
      <c r="N136" s="1" t="s">
        <v>73</v>
      </c>
      <c r="O136" s="1" t="str">
        <f>INT(K136)&amp;"°"&amp;INT(MOD(K136,1)*60)&amp;"'"&amp;
ROUND(MOD(MOD(K136,1)*60,1)*60,1)&amp;"""N"</f>
        <v>10°43'32.1"N</v>
      </c>
      <c r="P136" s="1" t="str">
        <f>INT(L136)&amp;"°"&amp;INT(MOD(L136,1)*60)&amp;"'"&amp;
ROUND(MOD(MOD(L136,1)*60,1)*60,1)&amp;"""E"</f>
        <v>106°38'31.1"E</v>
      </c>
      <c r="Q136" s="1" t="str">
        <f>O136 &amp; " " &amp; P136</f>
        <v>10°43'32.1"N 106°38'31.1"E</v>
      </c>
    </row>
    <row r="137" spans="1:17" ht="15.75" customHeight="1" x14ac:dyDescent="0.2">
      <c r="A137" s="1">
        <v>192</v>
      </c>
      <c r="B137" s="1" t="s">
        <v>725</v>
      </c>
      <c r="C137" s="1" t="s">
        <v>15</v>
      </c>
      <c r="D137" s="1" t="s">
        <v>16</v>
      </c>
      <c r="E137" s="1" t="s">
        <v>701</v>
      </c>
      <c r="F137" s="1" t="s">
        <v>702</v>
      </c>
      <c r="G137" s="1" t="s">
        <v>726</v>
      </c>
      <c r="H137" s="1" t="s">
        <v>727</v>
      </c>
      <c r="I137" s="1" t="s">
        <v>21</v>
      </c>
      <c r="J137" s="1" t="s">
        <v>22</v>
      </c>
      <c r="K137" s="2">
        <v>10.728599490000001</v>
      </c>
      <c r="L137" s="2">
        <v>105.52449821</v>
      </c>
      <c r="M137" s="1" t="s">
        <v>726</v>
      </c>
      <c r="N137" s="1" t="s">
        <v>702</v>
      </c>
      <c r="O137" s="1" t="str">
        <f>INT(K137)&amp;"°"&amp;INT(MOD(K137,1)*60)&amp;"'"&amp;
ROUND(MOD(MOD(K137,1)*60,1)*60,1)&amp;"""N"</f>
        <v>10°43'43"N</v>
      </c>
      <c r="P137" s="1" t="str">
        <f>INT(L137)&amp;"°"&amp;INT(MOD(L137,1)*60)&amp;"'"&amp;
ROUND(MOD(MOD(L137,1)*60,1)*60,1)&amp;"""E"</f>
        <v>105°31'28.2"E</v>
      </c>
      <c r="Q137" s="1" t="str">
        <f>O137 &amp; " " &amp; P137</f>
        <v>10°43'43"N 105°31'28.2"E</v>
      </c>
    </row>
    <row r="138" spans="1:17" ht="15.75" customHeight="1" x14ac:dyDescent="0.2">
      <c r="A138" s="1">
        <v>308</v>
      </c>
      <c r="B138" s="1" t="s">
        <v>1132</v>
      </c>
      <c r="C138" s="1" t="s">
        <v>15</v>
      </c>
      <c r="D138" s="1" t="s">
        <v>16</v>
      </c>
      <c r="E138" s="1" t="s">
        <v>1133</v>
      </c>
      <c r="F138" s="1" t="s">
        <v>73</v>
      </c>
      <c r="G138" s="1" t="s">
        <v>1134</v>
      </c>
      <c r="H138" s="1" t="s">
        <v>1135</v>
      </c>
      <c r="I138" s="1" t="s">
        <v>21</v>
      </c>
      <c r="J138" s="1" t="s">
        <v>22</v>
      </c>
      <c r="K138" s="2">
        <v>10.73370461</v>
      </c>
      <c r="L138" s="2">
        <v>106.57582748999999</v>
      </c>
      <c r="M138" s="1" t="s">
        <v>1136</v>
      </c>
      <c r="N138" s="1" t="s">
        <v>73</v>
      </c>
      <c r="O138" s="1" t="str">
        <f>INT(K138)&amp;"°"&amp;INT(MOD(K138,1)*60)&amp;"'"&amp;
ROUND(MOD(MOD(K138,1)*60,1)*60,1)&amp;"""N"</f>
        <v>10°44'1.3"N</v>
      </c>
      <c r="P138" s="1" t="str">
        <f>INT(L138)&amp;"°"&amp;INT(MOD(L138,1)*60)&amp;"'"&amp;
ROUND(MOD(MOD(L138,1)*60,1)*60,1)&amp;"""E"</f>
        <v>106°34'33"E</v>
      </c>
      <c r="Q138" s="1" t="str">
        <f>O138 &amp; " " &amp; P138</f>
        <v>10°44'1.3"N 106°34'33"E</v>
      </c>
    </row>
    <row r="139" spans="1:17" ht="15.75" customHeight="1" x14ac:dyDescent="0.2">
      <c r="A139" s="1">
        <v>326</v>
      </c>
      <c r="B139" s="1" t="s">
        <v>1200</v>
      </c>
      <c r="C139" s="1" t="s">
        <v>15</v>
      </c>
      <c r="D139" s="1" t="s">
        <v>16</v>
      </c>
      <c r="E139" s="1" t="s">
        <v>1133</v>
      </c>
      <c r="F139" s="1" t="s">
        <v>73</v>
      </c>
      <c r="G139" s="1" t="s">
        <v>1201</v>
      </c>
      <c r="H139" s="1" t="s">
        <v>1202</v>
      </c>
      <c r="I139" s="1" t="s">
        <v>434</v>
      </c>
      <c r="J139" s="1" t="s">
        <v>435</v>
      </c>
      <c r="K139" s="2">
        <v>10.736339149999999</v>
      </c>
      <c r="L139" s="2">
        <v>106.72938277</v>
      </c>
      <c r="M139" s="1" t="s">
        <v>1203</v>
      </c>
      <c r="N139" s="1" t="s">
        <v>73</v>
      </c>
      <c r="O139" s="1" t="str">
        <f>INT(K139)&amp;"°"&amp;INT(MOD(K139,1)*60)&amp;"'"&amp;
ROUND(MOD(MOD(K139,1)*60,1)*60,1)&amp;"""N"</f>
        <v>10°44'10.8"N</v>
      </c>
      <c r="P139" s="1" t="str">
        <f>INT(L139)&amp;"°"&amp;INT(MOD(L139,1)*60)&amp;"'"&amp;
ROUND(MOD(MOD(L139,1)*60,1)*60,1)&amp;"""E"</f>
        <v>106°43'45.8"E</v>
      </c>
      <c r="Q139" s="1" t="str">
        <f>O139 &amp; " " &amp; P139</f>
        <v>10°44'10.8"N 106°43'45.8"E</v>
      </c>
    </row>
    <row r="140" spans="1:17" ht="15.75" customHeight="1" x14ac:dyDescent="0.2">
      <c r="A140" s="1">
        <v>325</v>
      </c>
      <c r="B140" s="1" t="s">
        <v>1197</v>
      </c>
      <c r="C140" s="1" t="s">
        <v>15</v>
      </c>
      <c r="D140" s="1" t="s">
        <v>16</v>
      </c>
      <c r="E140" s="1" t="s">
        <v>1133</v>
      </c>
      <c r="F140" s="1" t="s">
        <v>73</v>
      </c>
      <c r="G140" s="1" t="s">
        <v>1198</v>
      </c>
      <c r="H140" s="1" t="s">
        <v>1199</v>
      </c>
      <c r="I140" s="1" t="s">
        <v>434</v>
      </c>
      <c r="J140" s="1" t="s">
        <v>435</v>
      </c>
      <c r="K140" s="2">
        <v>10.745810880000001</v>
      </c>
      <c r="L140" s="2">
        <v>106.63523082</v>
      </c>
      <c r="M140" s="1" t="s">
        <v>281</v>
      </c>
      <c r="N140" s="1" t="s">
        <v>73</v>
      </c>
      <c r="O140" s="1" t="str">
        <f>INT(K140)&amp;"°"&amp;INT(MOD(K140,1)*60)&amp;"'"&amp;
ROUND(MOD(MOD(K140,1)*60,1)*60,1)&amp;"""N"</f>
        <v>10°44'44.9"N</v>
      </c>
      <c r="P140" s="1" t="str">
        <f>INT(L140)&amp;"°"&amp;INT(MOD(L140,1)*60)&amp;"'"&amp;
ROUND(MOD(MOD(L140,1)*60,1)*60,1)&amp;"""E"</f>
        <v>106°38'6.8"E</v>
      </c>
      <c r="Q140" s="1" t="str">
        <f>O140 &amp; " " &amp; P140</f>
        <v>10°44'44.9"N 106°38'6.8"E</v>
      </c>
    </row>
    <row r="141" spans="1:17" ht="15.75" customHeight="1" x14ac:dyDescent="0.2">
      <c r="A141" s="1">
        <v>433</v>
      </c>
      <c r="B141" s="1" t="s">
        <v>1586</v>
      </c>
      <c r="C141" s="1" t="s">
        <v>15</v>
      </c>
      <c r="D141" s="1" t="s">
        <v>16</v>
      </c>
      <c r="E141" s="1" t="s">
        <v>1559</v>
      </c>
      <c r="F141" s="1" t="s">
        <v>1560</v>
      </c>
      <c r="G141" s="1" t="s">
        <v>1587</v>
      </c>
      <c r="H141" s="1" t="s">
        <v>1588</v>
      </c>
      <c r="I141" s="1" t="s">
        <v>21</v>
      </c>
      <c r="J141" s="1" t="s">
        <v>22</v>
      </c>
      <c r="K141" s="2">
        <v>10.753860400000001</v>
      </c>
      <c r="L141" s="2">
        <v>106.01984091</v>
      </c>
      <c r="M141" s="1" t="s">
        <v>1589</v>
      </c>
      <c r="N141" s="1" t="s">
        <v>1564</v>
      </c>
      <c r="O141" s="1" t="str">
        <f>INT(K141)&amp;"°"&amp;INT(MOD(K141,1)*60)&amp;"'"&amp;
ROUND(MOD(MOD(K141,1)*60,1)*60,1)&amp;"""N"</f>
        <v>10°45'13.9"N</v>
      </c>
      <c r="P141" s="1" t="str">
        <f>INT(L141)&amp;"°"&amp;INT(MOD(L141,1)*60)&amp;"'"&amp;
ROUND(MOD(MOD(L141,1)*60,1)*60,1)&amp;"""E"</f>
        <v>106°1'11.4"E</v>
      </c>
      <c r="Q141" s="1" t="str">
        <f>O141 &amp; " " &amp; P141</f>
        <v>10°45'13.9"N 106°1'11.4"E</v>
      </c>
    </row>
    <row r="142" spans="1:17" ht="15.75" customHeight="1" x14ac:dyDescent="0.2">
      <c r="A142" s="1">
        <v>324</v>
      </c>
      <c r="B142" s="1" t="s">
        <v>1193</v>
      </c>
      <c r="C142" s="1" t="s">
        <v>15</v>
      </c>
      <c r="D142" s="1" t="s">
        <v>16</v>
      </c>
      <c r="E142" s="1" t="s">
        <v>1133</v>
      </c>
      <c r="F142" s="1" t="s">
        <v>73</v>
      </c>
      <c r="G142" s="1" t="s">
        <v>1194</v>
      </c>
      <c r="H142" s="1" t="s">
        <v>1195</v>
      </c>
      <c r="I142" s="1" t="s">
        <v>434</v>
      </c>
      <c r="J142" s="1" t="s">
        <v>435</v>
      </c>
      <c r="K142" s="2">
        <v>10.75493063</v>
      </c>
      <c r="L142" s="2">
        <v>106.66945984</v>
      </c>
      <c r="M142" s="1" t="s">
        <v>1196</v>
      </c>
      <c r="N142" s="1" t="s">
        <v>73</v>
      </c>
      <c r="O142" s="1" t="str">
        <f>INT(K142)&amp;"°"&amp;INT(MOD(K142,1)*60)&amp;"'"&amp;
ROUND(MOD(MOD(K142,1)*60,1)*60,1)&amp;"""N"</f>
        <v>10°45'17.8"N</v>
      </c>
      <c r="P142" s="1" t="str">
        <f>INT(L142)&amp;"°"&amp;INT(MOD(L142,1)*60)&amp;"'"&amp;
ROUND(MOD(MOD(L142,1)*60,1)*60,1)&amp;"""E"</f>
        <v>106°40'10.1"E</v>
      </c>
      <c r="Q142" s="1" t="str">
        <f>O142 &amp; " " &amp; P142</f>
        <v>10°45'17.8"N 106°40'10.1"E</v>
      </c>
    </row>
    <row r="143" spans="1:17" ht="15.75" customHeight="1" x14ac:dyDescent="0.2">
      <c r="A143" s="1">
        <v>323</v>
      </c>
      <c r="B143" s="1" t="s">
        <v>1189</v>
      </c>
      <c r="C143" s="1" t="s">
        <v>15</v>
      </c>
      <c r="D143" s="1" t="s">
        <v>16</v>
      </c>
      <c r="E143" s="1" t="s">
        <v>1133</v>
      </c>
      <c r="F143" s="1" t="s">
        <v>73</v>
      </c>
      <c r="G143" s="1" t="s">
        <v>1190</v>
      </c>
      <c r="H143" s="1" t="s">
        <v>1191</v>
      </c>
      <c r="I143" s="1" t="s">
        <v>434</v>
      </c>
      <c r="J143" s="1" t="s">
        <v>435</v>
      </c>
      <c r="K143" s="2">
        <v>10.758477900000001</v>
      </c>
      <c r="L143" s="2">
        <v>106.70557518</v>
      </c>
      <c r="M143" s="1" t="s">
        <v>1192</v>
      </c>
      <c r="N143" s="1" t="s">
        <v>73</v>
      </c>
      <c r="O143" s="1" t="str">
        <f>INT(K143)&amp;"°"&amp;INT(MOD(K143,1)*60)&amp;"'"&amp;
ROUND(MOD(MOD(K143,1)*60,1)*60,1)&amp;"""N"</f>
        <v>10°45'30.5"N</v>
      </c>
      <c r="P143" s="1" t="str">
        <f>INT(L143)&amp;"°"&amp;INT(MOD(L143,1)*60)&amp;"'"&amp;
ROUND(MOD(MOD(L143,1)*60,1)*60,1)&amp;"""E"</f>
        <v>106°42'20.1"E</v>
      </c>
      <c r="Q143" s="1" t="str">
        <f>O143 &amp; " " &amp; P143</f>
        <v>10°45'30.5"N 106°42'20.1"E</v>
      </c>
    </row>
    <row r="144" spans="1:17" ht="15.75" customHeight="1" x14ac:dyDescent="0.2">
      <c r="A144" s="1">
        <v>319</v>
      </c>
      <c r="B144" s="1" t="s">
        <v>1173</v>
      </c>
      <c r="C144" s="1" t="s">
        <v>15</v>
      </c>
      <c r="D144" s="1" t="s">
        <v>16</v>
      </c>
      <c r="E144" s="1" t="s">
        <v>1133</v>
      </c>
      <c r="F144" s="1" t="s">
        <v>73</v>
      </c>
      <c r="G144" s="1" t="s">
        <v>1174</v>
      </c>
      <c r="H144" s="1" t="s">
        <v>1175</v>
      </c>
      <c r="I144" s="1" t="s">
        <v>434</v>
      </c>
      <c r="J144" s="1" t="s">
        <v>435</v>
      </c>
      <c r="K144" s="2">
        <v>10.76408305</v>
      </c>
      <c r="L144" s="2">
        <v>106.64770461000001</v>
      </c>
      <c r="M144" s="1" t="s">
        <v>1176</v>
      </c>
      <c r="N144" s="1" t="s">
        <v>73</v>
      </c>
      <c r="O144" s="1" t="str">
        <f>INT(K144)&amp;"°"&amp;INT(MOD(K144,1)*60)&amp;"'"&amp;
ROUND(MOD(MOD(K144,1)*60,1)*60,1)&amp;"""N"</f>
        <v>10°45'50.7"N</v>
      </c>
      <c r="P144" s="1" t="str">
        <f>INT(L144)&amp;"°"&amp;INT(MOD(L144,1)*60)&amp;"'"&amp;
ROUND(MOD(MOD(L144,1)*60,1)*60,1)&amp;"""E"</f>
        <v>106°38'51.7"E</v>
      </c>
      <c r="Q144" s="1" t="str">
        <f>O144 &amp; " " &amp; P144</f>
        <v>10°45'50.7"N 106°38'51.7"E</v>
      </c>
    </row>
    <row r="145" spans="1:17" ht="15.75" customHeight="1" x14ac:dyDescent="0.2">
      <c r="A145" s="1">
        <v>309</v>
      </c>
      <c r="B145" s="1" t="s">
        <v>1137</v>
      </c>
      <c r="C145" s="1" t="s">
        <v>15</v>
      </c>
      <c r="D145" s="1" t="s">
        <v>16</v>
      </c>
      <c r="E145" s="1" t="s">
        <v>1133</v>
      </c>
      <c r="F145" s="1" t="s">
        <v>73</v>
      </c>
      <c r="G145" s="1" t="s">
        <v>1138</v>
      </c>
      <c r="H145" s="1" t="s">
        <v>1139</v>
      </c>
      <c r="I145" s="1" t="s">
        <v>434</v>
      </c>
      <c r="J145" s="1" t="s">
        <v>435</v>
      </c>
      <c r="K145" s="2">
        <v>10.76456456</v>
      </c>
      <c r="L145" s="2">
        <v>106.59752937</v>
      </c>
      <c r="M145" s="1" t="s">
        <v>1140</v>
      </c>
      <c r="N145" s="1" t="s">
        <v>73</v>
      </c>
      <c r="O145" s="1" t="str">
        <f>INT(K145)&amp;"°"&amp;INT(MOD(K145,1)*60)&amp;"'"&amp;
ROUND(MOD(MOD(K145,1)*60,1)*60,1)&amp;"""N"</f>
        <v>10°45'52.4"N</v>
      </c>
      <c r="P145" s="1" t="str">
        <f>INT(L145)&amp;"°"&amp;INT(MOD(L145,1)*60)&amp;"'"&amp;
ROUND(MOD(MOD(L145,1)*60,1)*60,1)&amp;"""E"</f>
        <v>106°35'51.1"E</v>
      </c>
      <c r="Q145" s="1" t="str">
        <f>O145 &amp; " " &amp; P145</f>
        <v>10°45'52.4"N 106°35'51.1"E</v>
      </c>
    </row>
    <row r="146" spans="1:17" ht="15.75" customHeight="1" x14ac:dyDescent="0.2">
      <c r="A146" s="1">
        <v>177</v>
      </c>
      <c r="B146" s="1" t="s">
        <v>674</v>
      </c>
      <c r="C146" s="1" t="s">
        <v>15</v>
      </c>
      <c r="D146" s="1" t="s">
        <v>16</v>
      </c>
      <c r="E146" s="1" t="s">
        <v>660</v>
      </c>
      <c r="F146" s="1" t="s">
        <v>330</v>
      </c>
      <c r="G146" s="1" t="s">
        <v>675</v>
      </c>
      <c r="H146" s="1" t="s">
        <v>676</v>
      </c>
      <c r="I146" s="1" t="s">
        <v>21</v>
      </c>
      <c r="J146" s="1" t="s">
        <v>22</v>
      </c>
      <c r="K146" s="2">
        <v>10.76523424</v>
      </c>
      <c r="L146" s="2">
        <v>107.023206</v>
      </c>
      <c r="M146" s="1" t="s">
        <v>675</v>
      </c>
      <c r="N146" s="1" t="s">
        <v>330</v>
      </c>
      <c r="O146" s="1" t="str">
        <f>INT(K146)&amp;"°"&amp;INT(MOD(K146,1)*60)&amp;"'"&amp;
ROUND(MOD(MOD(K146,1)*60,1)*60,1)&amp;"""N"</f>
        <v>10°45'54.8"N</v>
      </c>
      <c r="P146" s="1" t="str">
        <f>INT(L146)&amp;"°"&amp;INT(MOD(L146,1)*60)&amp;"'"&amp;
ROUND(MOD(MOD(L146,1)*60,1)*60,1)&amp;"""E"</f>
        <v>107°1'23.5"E</v>
      </c>
      <c r="Q146" s="1" t="str">
        <f>O146 &amp; " " &amp; P146</f>
        <v>10°45'54.8"N 107°1'23.5"E</v>
      </c>
    </row>
    <row r="147" spans="1:17" ht="15.75" customHeight="1" x14ac:dyDescent="0.2">
      <c r="A147" s="1">
        <v>94</v>
      </c>
      <c r="B147" s="1" t="s">
        <v>373</v>
      </c>
      <c r="C147" s="1" t="s">
        <v>15</v>
      </c>
      <c r="D147" s="1" t="s">
        <v>16</v>
      </c>
      <c r="E147" s="1" t="s">
        <v>364</v>
      </c>
      <c r="F147" s="1" t="s">
        <v>365</v>
      </c>
      <c r="G147" s="1" t="s">
        <v>374</v>
      </c>
      <c r="H147" s="1" t="s">
        <v>375</v>
      </c>
      <c r="I147" s="1" t="s">
        <v>21</v>
      </c>
      <c r="J147" s="1" t="s">
        <v>22</v>
      </c>
      <c r="K147" s="2">
        <v>10.76653617</v>
      </c>
      <c r="L147" s="2">
        <v>107.64753118</v>
      </c>
      <c r="M147" s="1" t="s">
        <v>374</v>
      </c>
      <c r="N147" s="1" t="s">
        <v>369</v>
      </c>
      <c r="O147" s="1" t="str">
        <f>INT(K147)&amp;"°"&amp;INT(MOD(K147,1)*60)&amp;"'"&amp;
ROUND(MOD(MOD(K147,1)*60,1)*60,1)&amp;"""N"</f>
        <v>10°45'59.5"N</v>
      </c>
      <c r="P147" s="1" t="str">
        <f>INT(L147)&amp;"°"&amp;INT(MOD(L147,1)*60)&amp;"'"&amp;
ROUND(MOD(MOD(L147,1)*60,1)*60,1)&amp;"""E"</f>
        <v>107°38'51.1"E</v>
      </c>
      <c r="Q147" s="1" t="str">
        <f>O147 &amp; " " &amp; P147</f>
        <v>10°45'59.5"N 107°38'51.1"E</v>
      </c>
    </row>
    <row r="148" spans="1:17" ht="15.75" customHeight="1" x14ac:dyDescent="0.2">
      <c r="A148" s="1">
        <v>318</v>
      </c>
      <c r="B148" s="1" t="s">
        <v>1169</v>
      </c>
      <c r="C148" s="1" t="s">
        <v>15</v>
      </c>
      <c r="D148" s="1" t="s">
        <v>16</v>
      </c>
      <c r="E148" s="1" t="s">
        <v>1133</v>
      </c>
      <c r="F148" s="1" t="s">
        <v>73</v>
      </c>
      <c r="G148" s="1" t="s">
        <v>1170</v>
      </c>
      <c r="H148" s="1" t="s">
        <v>1171</v>
      </c>
      <c r="I148" s="1" t="s">
        <v>434</v>
      </c>
      <c r="J148" s="1" t="s">
        <v>435</v>
      </c>
      <c r="K148" s="2">
        <v>10.772354999999999</v>
      </c>
      <c r="L148" s="2">
        <v>106.66825214000001</v>
      </c>
      <c r="M148" s="1" t="s">
        <v>1172</v>
      </c>
      <c r="N148" s="1" t="s">
        <v>73</v>
      </c>
      <c r="O148" s="1" t="str">
        <f>INT(K148)&amp;"°"&amp;INT(MOD(K148,1)*60)&amp;"'"&amp;
ROUND(MOD(MOD(K148,1)*60,1)*60,1)&amp;"""N"</f>
        <v>10°46'20.5"N</v>
      </c>
      <c r="P148" s="1" t="str">
        <f>INT(L148)&amp;"°"&amp;INT(MOD(L148,1)*60)&amp;"'"&amp;
ROUND(MOD(MOD(L148,1)*60,1)*60,1)&amp;"""E"</f>
        <v>106°40'5.7"E</v>
      </c>
      <c r="Q148" s="1" t="str">
        <f>O148 &amp; " " &amp; P148</f>
        <v>10°46'20.5"N 106°40'5.7"E</v>
      </c>
    </row>
    <row r="149" spans="1:17" ht="15.75" customHeight="1" x14ac:dyDescent="0.2">
      <c r="A149" s="1">
        <v>317</v>
      </c>
      <c r="B149" s="1" t="s">
        <v>1165</v>
      </c>
      <c r="C149" s="1" t="s">
        <v>15</v>
      </c>
      <c r="D149" s="1" t="s">
        <v>16</v>
      </c>
      <c r="E149" s="1" t="s">
        <v>1133</v>
      </c>
      <c r="F149" s="1" t="s">
        <v>73</v>
      </c>
      <c r="G149" s="1" t="s">
        <v>1166</v>
      </c>
      <c r="H149" s="1" t="s">
        <v>1167</v>
      </c>
      <c r="I149" s="1" t="s">
        <v>434</v>
      </c>
      <c r="J149" s="1" t="s">
        <v>435</v>
      </c>
      <c r="K149" s="2">
        <v>10.776161370000001</v>
      </c>
      <c r="L149" s="2">
        <v>106.69721850000001</v>
      </c>
      <c r="M149" s="1" t="s">
        <v>1168</v>
      </c>
      <c r="N149" s="1" t="s">
        <v>73</v>
      </c>
      <c r="O149" s="1" t="str">
        <f>INT(K149)&amp;"°"&amp;INT(MOD(K149,1)*60)&amp;"'"&amp;
ROUND(MOD(MOD(K149,1)*60,1)*60,1)&amp;"""N"</f>
        <v>10°46'34.2"N</v>
      </c>
      <c r="P149" s="1" t="str">
        <f>INT(L149)&amp;"°"&amp;INT(MOD(L149,1)*60)&amp;"'"&amp;
ROUND(MOD(MOD(L149,1)*60,1)*60,1)&amp;"""E"</f>
        <v>106°41'50"E</v>
      </c>
      <c r="Q149" s="1" t="str">
        <f>O149 &amp; " " &amp; P149</f>
        <v>10°46'34.2"N 106°41'50"E</v>
      </c>
    </row>
    <row r="150" spans="1:17" ht="15.75" customHeight="1" x14ac:dyDescent="0.2">
      <c r="A150" s="1">
        <v>321</v>
      </c>
      <c r="B150" s="1" t="s">
        <v>1181</v>
      </c>
      <c r="C150" s="1" t="s">
        <v>15</v>
      </c>
      <c r="D150" s="1" t="s">
        <v>16</v>
      </c>
      <c r="E150" s="1" t="s">
        <v>1133</v>
      </c>
      <c r="F150" s="1" t="s">
        <v>73</v>
      </c>
      <c r="G150" s="1" t="s">
        <v>1182</v>
      </c>
      <c r="H150" s="1" t="s">
        <v>1183</v>
      </c>
      <c r="I150" s="1" t="s">
        <v>434</v>
      </c>
      <c r="J150" s="1" t="s">
        <v>435</v>
      </c>
      <c r="K150" s="2">
        <v>10.779173269999999</v>
      </c>
      <c r="L150" s="2">
        <v>106.75631186</v>
      </c>
      <c r="M150" s="1" t="s">
        <v>1184</v>
      </c>
      <c r="N150" s="1" t="s">
        <v>73</v>
      </c>
      <c r="O150" s="1" t="str">
        <f>INT(K150)&amp;"°"&amp;INT(MOD(K150,1)*60)&amp;"'"&amp;
ROUND(MOD(MOD(K150,1)*60,1)*60,1)&amp;"""N"</f>
        <v>10°46'45"N</v>
      </c>
      <c r="P150" s="1" t="str">
        <f>INT(L150)&amp;"°"&amp;INT(MOD(L150,1)*60)&amp;"'"&amp;
ROUND(MOD(MOD(L150,1)*60,1)*60,1)&amp;"""E"</f>
        <v>106°45'22.7"E</v>
      </c>
      <c r="Q150" s="1" t="str">
        <f>O150 &amp; " " &amp; P150</f>
        <v>10°46'45"N 106°45'22.7"E</v>
      </c>
    </row>
    <row r="151" spans="1:17" ht="15.75" customHeight="1" x14ac:dyDescent="0.2">
      <c r="A151" s="1">
        <v>322</v>
      </c>
      <c r="B151" s="1" t="s">
        <v>1185</v>
      </c>
      <c r="C151" s="1" t="s">
        <v>15</v>
      </c>
      <c r="D151" s="1" t="s">
        <v>16</v>
      </c>
      <c r="E151" s="1" t="s">
        <v>1133</v>
      </c>
      <c r="F151" s="1" t="s">
        <v>73</v>
      </c>
      <c r="G151" s="1" t="s">
        <v>1186</v>
      </c>
      <c r="H151" s="1" t="s">
        <v>1187</v>
      </c>
      <c r="I151" s="1" t="s">
        <v>434</v>
      </c>
      <c r="J151" s="1" t="s">
        <v>435</v>
      </c>
      <c r="K151" s="2">
        <v>10.78146463</v>
      </c>
      <c r="L151" s="2">
        <v>106.68282049</v>
      </c>
      <c r="M151" s="1" t="s">
        <v>1188</v>
      </c>
      <c r="N151" s="1" t="s">
        <v>73</v>
      </c>
      <c r="O151" s="1" t="str">
        <f>INT(K151)&amp;"°"&amp;INT(MOD(K151,1)*60)&amp;"'"&amp;
ROUND(MOD(MOD(K151,1)*60,1)*60,1)&amp;"""N"</f>
        <v>10°46'53.3"N</v>
      </c>
      <c r="P151" s="1" t="str">
        <f>INT(L151)&amp;"°"&amp;INT(MOD(L151,1)*60)&amp;"'"&amp;
ROUND(MOD(MOD(L151,1)*60,1)*60,1)&amp;"""E"</f>
        <v>106°40'58.2"E</v>
      </c>
      <c r="Q151" s="1" t="str">
        <f>O151 &amp; " " &amp; P151</f>
        <v>10°46'53.3"N 106°40'58.2"E</v>
      </c>
    </row>
    <row r="152" spans="1:17" ht="15.75" customHeight="1" x14ac:dyDescent="0.2">
      <c r="A152" s="1">
        <v>432</v>
      </c>
      <c r="B152" s="1" t="s">
        <v>1582</v>
      </c>
      <c r="C152" s="1" t="s">
        <v>15</v>
      </c>
      <c r="D152" s="1" t="s">
        <v>16</v>
      </c>
      <c r="E152" s="1" t="s">
        <v>1559</v>
      </c>
      <c r="F152" s="1" t="s">
        <v>1560</v>
      </c>
      <c r="G152" s="1" t="s">
        <v>1583</v>
      </c>
      <c r="H152" s="1" t="s">
        <v>1584</v>
      </c>
      <c r="I152" s="1" t="s">
        <v>53</v>
      </c>
      <c r="J152" s="1" t="s">
        <v>54</v>
      </c>
      <c r="K152" s="2">
        <v>10.783870500000001</v>
      </c>
      <c r="L152" s="2">
        <v>105.90892492</v>
      </c>
      <c r="M152" s="1" t="s">
        <v>1585</v>
      </c>
      <c r="N152" s="1" t="s">
        <v>1564</v>
      </c>
      <c r="O152" s="1" t="str">
        <f>INT(K152)&amp;"°"&amp;INT(MOD(K152,1)*60)&amp;"'"&amp;
ROUND(MOD(MOD(K152,1)*60,1)*60,1)&amp;"""N"</f>
        <v>10°47'1.9"N</v>
      </c>
      <c r="P152" s="1" t="str">
        <f>INT(L152)&amp;"°"&amp;INT(MOD(L152,1)*60)&amp;"'"&amp;
ROUND(MOD(MOD(L152,1)*60,1)*60,1)&amp;"""E"</f>
        <v>105°54'32.1"E</v>
      </c>
      <c r="Q152" s="1" t="str">
        <f>O152 &amp; " " &amp; P152</f>
        <v>10°47'1.9"N 105°54'32.1"E</v>
      </c>
    </row>
    <row r="153" spans="1:17" ht="15.75" customHeight="1" x14ac:dyDescent="0.2">
      <c r="A153" s="1">
        <v>330</v>
      </c>
      <c r="B153" s="1" t="s">
        <v>1216</v>
      </c>
      <c r="C153" s="1" t="s">
        <v>15</v>
      </c>
      <c r="D153" s="1" t="s">
        <v>16</v>
      </c>
      <c r="E153" s="1" t="s">
        <v>1133</v>
      </c>
      <c r="F153" s="1" t="s">
        <v>73</v>
      </c>
      <c r="G153" s="1" t="s">
        <v>682</v>
      </c>
      <c r="H153" s="1" t="s">
        <v>683</v>
      </c>
      <c r="I153" s="1" t="s">
        <v>434</v>
      </c>
      <c r="J153" s="1" t="s">
        <v>435</v>
      </c>
      <c r="K153" s="2">
        <v>10.792591460000001</v>
      </c>
      <c r="L153" s="2">
        <v>106.62686054</v>
      </c>
      <c r="M153" s="1" t="s">
        <v>1217</v>
      </c>
      <c r="N153" s="1" t="s">
        <v>73</v>
      </c>
      <c r="O153" s="1" t="str">
        <f>INT(K153)&amp;"°"&amp;INT(MOD(K153,1)*60)&amp;"'"&amp;
ROUND(MOD(MOD(K153,1)*60,1)*60,1)&amp;"""N"</f>
        <v>10°47'33.3"N</v>
      </c>
      <c r="P153" s="1" t="str">
        <f>INT(L153)&amp;"°"&amp;INT(MOD(L153,1)*60)&amp;"'"&amp;
ROUND(MOD(MOD(L153,1)*60,1)*60,1)&amp;"""E"</f>
        <v>106°37'36.7"E</v>
      </c>
      <c r="Q153" s="1" t="str">
        <f>O153 &amp; " " &amp; P153</f>
        <v>10°47'33.3"N 106°37'36.7"E</v>
      </c>
    </row>
    <row r="154" spans="1:17" ht="15.75" customHeight="1" x14ac:dyDescent="0.2">
      <c r="A154" s="1">
        <v>8</v>
      </c>
      <c r="B154" s="1" t="s">
        <v>50</v>
      </c>
      <c r="C154" s="1" t="s">
        <v>15</v>
      </c>
      <c r="D154" s="1" t="s">
        <v>16</v>
      </c>
      <c r="E154" s="1" t="s">
        <v>17</v>
      </c>
      <c r="F154" s="1" t="s">
        <v>18</v>
      </c>
      <c r="G154" s="1" t="s">
        <v>51</v>
      </c>
      <c r="H154" s="1" t="s">
        <v>52</v>
      </c>
      <c r="I154" s="1" t="s">
        <v>53</v>
      </c>
      <c r="J154" s="1" t="s">
        <v>54</v>
      </c>
      <c r="K154" s="2">
        <v>10.80009804</v>
      </c>
      <c r="L154" s="2">
        <v>105.18640599</v>
      </c>
      <c r="M154" s="1" t="s">
        <v>55</v>
      </c>
      <c r="N154" s="1" t="s">
        <v>18</v>
      </c>
      <c r="O154" s="1" t="str">
        <f>INT(K154)&amp;"°"&amp;INT(MOD(K154,1)*60)&amp;"'"&amp;
ROUND(MOD(MOD(K154,1)*60,1)*60,1)&amp;"""N"</f>
        <v>10°48'0.4"N</v>
      </c>
      <c r="P154" s="1" t="str">
        <f>INT(L154)&amp;"°"&amp;INT(MOD(L154,1)*60)&amp;"'"&amp;
ROUND(MOD(MOD(L154,1)*60,1)*60,1)&amp;"""E"</f>
        <v>105°11'11.1"E</v>
      </c>
      <c r="Q154" s="1" t="str">
        <f>O154 &amp; " " &amp; P154</f>
        <v>10°48'0.4"N 105°11'11.1"E</v>
      </c>
    </row>
    <row r="155" spans="1:17" ht="15.75" customHeight="1" x14ac:dyDescent="0.2">
      <c r="A155" s="1">
        <v>316</v>
      </c>
      <c r="B155" s="1" t="s">
        <v>1161</v>
      </c>
      <c r="C155" s="1" t="s">
        <v>15</v>
      </c>
      <c r="D155" s="1" t="s">
        <v>16</v>
      </c>
      <c r="E155" s="1" t="s">
        <v>1133</v>
      </c>
      <c r="F155" s="1" t="s">
        <v>73</v>
      </c>
      <c r="G155" s="1" t="s">
        <v>1162</v>
      </c>
      <c r="H155" s="1" t="s">
        <v>1163</v>
      </c>
      <c r="I155" s="1" t="s">
        <v>434</v>
      </c>
      <c r="J155" s="1" t="s">
        <v>435</v>
      </c>
      <c r="K155" s="2">
        <v>10.80038439</v>
      </c>
      <c r="L155" s="2">
        <v>106.67819032</v>
      </c>
      <c r="M155" s="1" t="s">
        <v>1164</v>
      </c>
      <c r="N155" s="1" t="s">
        <v>73</v>
      </c>
      <c r="O155" s="1" t="str">
        <f>INT(K155)&amp;"°"&amp;INT(MOD(K155,1)*60)&amp;"'"&amp;
ROUND(MOD(MOD(K155,1)*60,1)*60,1)&amp;"""N"</f>
        <v>10°48'1.4"N</v>
      </c>
      <c r="P155" s="1" t="str">
        <f>INT(L155)&amp;"°"&amp;INT(MOD(L155,1)*60)&amp;"'"&amp;
ROUND(MOD(MOD(L155,1)*60,1)*60,1)&amp;"""E"</f>
        <v>106°40'41.5"E</v>
      </c>
      <c r="Q155" s="1" t="str">
        <f>O155 &amp; " " &amp; P155</f>
        <v>10°48'1.4"N 106°40'41.5"E</v>
      </c>
    </row>
    <row r="156" spans="1:17" ht="15.75" customHeight="1" x14ac:dyDescent="0.2">
      <c r="A156" s="1">
        <v>174</v>
      </c>
      <c r="B156" s="1" t="s">
        <v>664</v>
      </c>
      <c r="C156" s="1" t="s">
        <v>15</v>
      </c>
      <c r="D156" s="1" t="s">
        <v>16</v>
      </c>
      <c r="E156" s="1" t="s">
        <v>660</v>
      </c>
      <c r="F156" s="1" t="s">
        <v>330</v>
      </c>
      <c r="G156" s="1" t="s">
        <v>665</v>
      </c>
      <c r="H156" s="1" t="s">
        <v>666</v>
      </c>
      <c r="I156" s="1" t="s">
        <v>21</v>
      </c>
      <c r="J156" s="1" t="s">
        <v>22</v>
      </c>
      <c r="K156" s="2">
        <v>10.801174169999999</v>
      </c>
      <c r="L156" s="2">
        <v>107.25394350000001</v>
      </c>
      <c r="M156" s="1" t="s">
        <v>665</v>
      </c>
      <c r="N156" s="1" t="s">
        <v>330</v>
      </c>
      <c r="O156" s="1" t="str">
        <f>INT(K156)&amp;"°"&amp;INT(MOD(K156,1)*60)&amp;"'"&amp;
ROUND(MOD(MOD(K156,1)*60,1)*60,1)&amp;"""N"</f>
        <v>10°48'4.2"N</v>
      </c>
      <c r="P156" s="1" t="str">
        <f>INT(L156)&amp;"°"&amp;INT(MOD(L156,1)*60)&amp;"'"&amp;
ROUND(MOD(MOD(L156,1)*60,1)*60,1)&amp;"""E"</f>
        <v>107°15'14.2"E</v>
      </c>
      <c r="Q156" s="1" t="str">
        <f>O156 &amp; " " &amp; P156</f>
        <v>10°48'4.2"N 107°15'14.2"E</v>
      </c>
    </row>
    <row r="157" spans="1:17" ht="15.75" customHeight="1" x14ac:dyDescent="0.2">
      <c r="A157" s="1">
        <v>329</v>
      </c>
      <c r="B157" s="1" t="s">
        <v>1212</v>
      </c>
      <c r="C157" s="1" t="s">
        <v>15</v>
      </c>
      <c r="D157" s="1" t="s">
        <v>16</v>
      </c>
      <c r="E157" s="1" t="s">
        <v>1133</v>
      </c>
      <c r="F157" s="1" t="s">
        <v>73</v>
      </c>
      <c r="G157" s="1" t="s">
        <v>1213</v>
      </c>
      <c r="H157" s="1" t="s">
        <v>1214</v>
      </c>
      <c r="I157" s="1" t="s">
        <v>434</v>
      </c>
      <c r="J157" s="1" t="s">
        <v>435</v>
      </c>
      <c r="K157" s="2">
        <v>10.80886871</v>
      </c>
      <c r="L157" s="2">
        <v>106.65236756</v>
      </c>
      <c r="M157" s="1" t="s">
        <v>1215</v>
      </c>
      <c r="N157" s="1" t="s">
        <v>73</v>
      </c>
      <c r="O157" s="1" t="str">
        <f>INT(K157)&amp;"°"&amp;INT(MOD(K157,1)*60)&amp;"'"&amp;
ROUND(MOD(MOD(K157,1)*60,1)*60,1)&amp;"""N"</f>
        <v>10°48'31.9"N</v>
      </c>
      <c r="P157" s="1" t="str">
        <f>INT(L157)&amp;"°"&amp;INT(MOD(L157,1)*60)&amp;"'"&amp;
ROUND(MOD(MOD(L157,1)*60,1)*60,1)&amp;"""E"</f>
        <v>106°39'8.5"E</v>
      </c>
      <c r="Q157" s="1" t="str">
        <f>O157 &amp; " " &amp; P157</f>
        <v>10°48'31.9"N 106°39'8.5"E</v>
      </c>
    </row>
    <row r="158" spans="1:17" ht="15.75" customHeight="1" x14ac:dyDescent="0.2">
      <c r="A158" s="1">
        <v>310</v>
      </c>
      <c r="B158" s="1" t="s">
        <v>1141</v>
      </c>
      <c r="C158" s="1" t="s">
        <v>15</v>
      </c>
      <c r="D158" s="1" t="s">
        <v>16</v>
      </c>
      <c r="E158" s="1" t="s">
        <v>1133</v>
      </c>
      <c r="F158" s="1" t="s">
        <v>73</v>
      </c>
      <c r="G158" s="1" t="s">
        <v>1142</v>
      </c>
      <c r="H158" s="1" t="s">
        <v>1143</v>
      </c>
      <c r="I158" s="1" t="s">
        <v>434</v>
      </c>
      <c r="J158" s="1" t="s">
        <v>435</v>
      </c>
      <c r="K158" s="2">
        <v>10.811983229999999</v>
      </c>
      <c r="L158" s="2">
        <v>106.71610524</v>
      </c>
      <c r="M158" s="1" t="s">
        <v>33</v>
      </c>
      <c r="N158" s="1" t="s">
        <v>73</v>
      </c>
      <c r="O158" s="1" t="str">
        <f>INT(K158)&amp;"°"&amp;INT(MOD(K158,1)*60)&amp;"'"&amp;
ROUND(MOD(MOD(K158,1)*60,1)*60,1)&amp;"""N"</f>
        <v>10°48'43.1"N</v>
      </c>
      <c r="P158" s="1" t="str">
        <f>INT(L158)&amp;"°"&amp;INT(MOD(L158,1)*60)&amp;"'"&amp;
ROUND(MOD(MOD(L158,1)*60,1)*60,1)&amp;"""E"</f>
        <v>106°42'58"E</v>
      </c>
      <c r="Q158" s="1" t="str">
        <f>O158 &amp; " " &amp; P158</f>
        <v>10°48'43.1"N 106°42'58"E</v>
      </c>
    </row>
    <row r="159" spans="1:17" ht="15.75" customHeight="1" x14ac:dyDescent="0.2">
      <c r="A159" s="1">
        <v>187</v>
      </c>
      <c r="B159" s="1" t="s">
        <v>710</v>
      </c>
      <c r="C159" s="1" t="s">
        <v>15</v>
      </c>
      <c r="D159" s="1" t="s">
        <v>16</v>
      </c>
      <c r="E159" s="1" t="s">
        <v>701</v>
      </c>
      <c r="F159" s="1" t="s">
        <v>702</v>
      </c>
      <c r="G159" s="1" t="s">
        <v>711</v>
      </c>
      <c r="H159" s="1" t="s">
        <v>712</v>
      </c>
      <c r="I159" s="1" t="s">
        <v>21</v>
      </c>
      <c r="J159" s="1" t="s">
        <v>22</v>
      </c>
      <c r="K159" s="2">
        <v>10.81600527</v>
      </c>
      <c r="L159" s="2">
        <v>105.28107828</v>
      </c>
      <c r="M159" s="1" t="s">
        <v>713</v>
      </c>
      <c r="N159" s="1" t="s">
        <v>702</v>
      </c>
      <c r="O159" s="1" t="str">
        <f>INT(K159)&amp;"°"&amp;INT(MOD(K159,1)*60)&amp;"'"&amp;
ROUND(MOD(MOD(K159,1)*60,1)*60,1)&amp;"""N"</f>
        <v>10°48'57.6"N</v>
      </c>
      <c r="P159" s="1" t="str">
        <f>INT(L159)&amp;"°"&amp;INT(MOD(L159,1)*60)&amp;"'"&amp;
ROUND(MOD(MOD(L159,1)*60,1)*60,1)&amp;"""E"</f>
        <v>105°16'51.9"E</v>
      </c>
      <c r="Q159" s="1" t="str">
        <f>O159 &amp; " " &amp; P159</f>
        <v>10°48'57.6"N 105°16'51.9"E</v>
      </c>
    </row>
    <row r="160" spans="1:17" ht="15.75" customHeight="1" x14ac:dyDescent="0.2">
      <c r="A160" s="1">
        <v>188</v>
      </c>
      <c r="B160" s="1" t="s">
        <v>714</v>
      </c>
      <c r="C160" s="1" t="s">
        <v>15</v>
      </c>
      <c r="D160" s="1" t="s">
        <v>16</v>
      </c>
      <c r="E160" s="1" t="s">
        <v>701</v>
      </c>
      <c r="F160" s="1" t="s">
        <v>702</v>
      </c>
      <c r="G160" s="1" t="s">
        <v>715</v>
      </c>
      <c r="H160" s="1" t="s">
        <v>712</v>
      </c>
      <c r="I160" s="1" t="s">
        <v>53</v>
      </c>
      <c r="J160" s="1" t="s">
        <v>54</v>
      </c>
      <c r="K160" s="2">
        <v>10.81841708</v>
      </c>
      <c r="L160" s="2">
        <v>105.37946347</v>
      </c>
      <c r="M160" s="1" t="s">
        <v>711</v>
      </c>
      <c r="N160" s="1" t="s">
        <v>702</v>
      </c>
      <c r="O160" s="1" t="str">
        <f>INT(K160)&amp;"°"&amp;INT(MOD(K160,1)*60)&amp;"'"&amp;
ROUND(MOD(MOD(K160,1)*60,1)*60,1)&amp;"""N"</f>
        <v>10°49'6.3"N</v>
      </c>
      <c r="P160" s="1" t="str">
        <f>INT(L160)&amp;"°"&amp;INT(MOD(L160,1)*60)&amp;"'"&amp;
ROUND(MOD(MOD(L160,1)*60,1)*60,1)&amp;"""E"</f>
        <v>105°22'46.1"E</v>
      </c>
      <c r="Q160" s="1" t="str">
        <f>O160 &amp; " " &amp; P160</f>
        <v>10°49'6.3"N 105°22'46.1"E</v>
      </c>
    </row>
    <row r="161" spans="1:17" ht="15.75" customHeight="1" x14ac:dyDescent="0.2">
      <c r="A161" s="1">
        <v>328</v>
      </c>
      <c r="B161" s="1" t="s">
        <v>1208</v>
      </c>
      <c r="C161" s="1" t="s">
        <v>15</v>
      </c>
      <c r="D161" s="1" t="s">
        <v>16</v>
      </c>
      <c r="E161" s="1" t="s">
        <v>1133</v>
      </c>
      <c r="F161" s="1" t="s">
        <v>73</v>
      </c>
      <c r="G161" s="1" t="s">
        <v>1209</v>
      </c>
      <c r="H161" s="1" t="s">
        <v>1210</v>
      </c>
      <c r="I161" s="1" t="s">
        <v>434</v>
      </c>
      <c r="J161" s="1" t="s">
        <v>435</v>
      </c>
      <c r="K161" s="2">
        <v>10.82329807</v>
      </c>
      <c r="L161" s="2">
        <v>106.82289871</v>
      </c>
      <c r="M161" s="1" t="s">
        <v>1211</v>
      </c>
      <c r="N161" s="1" t="s">
        <v>73</v>
      </c>
      <c r="O161" s="1" t="str">
        <f>INT(K161)&amp;"°"&amp;INT(MOD(K161,1)*60)&amp;"'"&amp;
ROUND(MOD(MOD(K161,1)*60,1)*60,1)&amp;"""N"</f>
        <v>10°49'23.9"N</v>
      </c>
      <c r="P161" s="1" t="str">
        <f>INT(L161)&amp;"°"&amp;INT(MOD(L161,1)*60)&amp;"'"&amp;
ROUND(MOD(MOD(L161,1)*60,1)*60,1)&amp;"""E"</f>
        <v>106°49'22.4"E</v>
      </c>
      <c r="Q161" s="1" t="str">
        <f>O161 &amp; " " &amp; P161</f>
        <v>10°49'23.9"N 106°49'22.4"E</v>
      </c>
    </row>
    <row r="162" spans="1:17" ht="15.75" customHeight="1" x14ac:dyDescent="0.2">
      <c r="A162" s="1">
        <v>435</v>
      </c>
      <c r="B162" s="1" t="s">
        <v>1592</v>
      </c>
      <c r="C162" s="1" t="s">
        <v>15</v>
      </c>
      <c r="D162" s="1" t="s">
        <v>16</v>
      </c>
      <c r="E162" s="1" t="s">
        <v>1559</v>
      </c>
      <c r="F162" s="1" t="s">
        <v>1560</v>
      </c>
      <c r="G162" s="1" t="s">
        <v>406</v>
      </c>
      <c r="H162" s="1" t="s">
        <v>1593</v>
      </c>
      <c r="I162" s="1" t="s">
        <v>21</v>
      </c>
      <c r="J162" s="1" t="s">
        <v>22</v>
      </c>
      <c r="K162" s="2">
        <v>10.83196205</v>
      </c>
      <c r="L162" s="2">
        <v>105.68678078000001</v>
      </c>
      <c r="M162" s="1" t="s">
        <v>406</v>
      </c>
      <c r="N162" s="1" t="s">
        <v>1564</v>
      </c>
      <c r="O162" s="1" t="str">
        <f>INT(K162)&amp;"°"&amp;INT(MOD(K162,1)*60)&amp;"'"&amp;
ROUND(MOD(MOD(K162,1)*60,1)*60,1)&amp;"""N"</f>
        <v>10°49'55.1"N</v>
      </c>
      <c r="P162" s="1" t="str">
        <f>INT(L162)&amp;"°"&amp;INT(MOD(L162,1)*60)&amp;"'"&amp;
ROUND(MOD(MOD(L162,1)*60,1)*60,1)&amp;"""E"</f>
        <v>105°41'12.4"E</v>
      </c>
      <c r="Q162" s="1" t="str">
        <f>O162 &amp; " " &amp; P162</f>
        <v>10°49'55.1"N 105°41'12.4"E</v>
      </c>
    </row>
    <row r="163" spans="1:17" ht="15.75" customHeight="1" x14ac:dyDescent="0.2">
      <c r="A163" s="1">
        <v>313</v>
      </c>
      <c r="B163" s="1" t="s">
        <v>1151</v>
      </c>
      <c r="C163" s="1" t="s">
        <v>15</v>
      </c>
      <c r="D163" s="1" t="s">
        <v>16</v>
      </c>
      <c r="E163" s="1" t="s">
        <v>1133</v>
      </c>
      <c r="F163" s="1" t="s">
        <v>73</v>
      </c>
      <c r="G163" s="1" t="s">
        <v>1152</v>
      </c>
      <c r="H163" s="1" t="s">
        <v>1153</v>
      </c>
      <c r="I163" s="1" t="s">
        <v>434</v>
      </c>
      <c r="J163" s="1" t="s">
        <v>435</v>
      </c>
      <c r="K163" s="2">
        <v>10.838288049999999</v>
      </c>
      <c r="L163" s="2">
        <v>106.66747927</v>
      </c>
      <c r="M163" s="1" t="s">
        <v>1152</v>
      </c>
      <c r="N163" s="1" t="s">
        <v>73</v>
      </c>
      <c r="O163" s="1" t="str">
        <f>INT(K163)&amp;"°"&amp;INT(MOD(K163,1)*60)&amp;"'"&amp;
ROUND(MOD(MOD(K163,1)*60,1)*60,1)&amp;"""N"</f>
        <v>10°50'17.8"N</v>
      </c>
      <c r="P163" s="1" t="str">
        <f>INT(L163)&amp;"°"&amp;INT(MOD(L163,1)*60)&amp;"'"&amp;
ROUND(MOD(MOD(L163,1)*60,1)*60,1)&amp;"""E"</f>
        <v>106°40'2.9"E</v>
      </c>
      <c r="Q163" s="1" t="str">
        <f>O163 &amp; " " &amp; P163</f>
        <v>10°50'17.8"N 106°40'2.9"E</v>
      </c>
    </row>
    <row r="164" spans="1:17" ht="15.75" customHeight="1" x14ac:dyDescent="0.2">
      <c r="A164" s="1">
        <v>1</v>
      </c>
      <c r="B164" s="1" t="s">
        <v>14</v>
      </c>
      <c r="C164" s="1" t="s">
        <v>15</v>
      </c>
      <c r="D164" s="1" t="s">
        <v>16</v>
      </c>
      <c r="E164" s="1" t="s">
        <v>17</v>
      </c>
      <c r="F164" s="1" t="s">
        <v>18</v>
      </c>
      <c r="G164" s="1" t="s">
        <v>19</v>
      </c>
      <c r="H164" s="1" t="s">
        <v>20</v>
      </c>
      <c r="I164" s="1" t="s">
        <v>21</v>
      </c>
      <c r="J164" s="1" t="s">
        <v>22</v>
      </c>
      <c r="K164" s="2">
        <v>10.846534780000001</v>
      </c>
      <c r="L164" s="2">
        <v>105.10078686</v>
      </c>
      <c r="M164" s="1" t="s">
        <v>23</v>
      </c>
      <c r="N164" s="1" t="s">
        <v>18</v>
      </c>
      <c r="O164" s="1" t="str">
        <f>INT(K164)&amp;"°"&amp;INT(MOD(K164,1)*60)&amp;"'"&amp;
ROUND(MOD(MOD(K164,1)*60,1)*60,1)&amp;"""N"</f>
        <v>10°50'47.5"N</v>
      </c>
      <c r="P164" s="1" t="str">
        <f>INT(L164)&amp;"°"&amp;INT(MOD(L164,1)*60)&amp;"'"&amp;
ROUND(MOD(MOD(L164,1)*60,1)*60,1)&amp;"""E"</f>
        <v>105°6'2.8"E</v>
      </c>
      <c r="Q164" s="1" t="str">
        <f>O164 &amp; " " &amp; P164</f>
        <v>10°50'47.5"N 105°6'2.8"E</v>
      </c>
    </row>
    <row r="165" spans="1:17" ht="15.75" customHeight="1" x14ac:dyDescent="0.2">
      <c r="A165" s="1">
        <v>331</v>
      </c>
      <c r="B165" s="1" t="s">
        <v>1218</v>
      </c>
      <c r="C165" s="1" t="s">
        <v>15</v>
      </c>
      <c r="D165" s="1" t="s">
        <v>16</v>
      </c>
      <c r="E165" s="1" t="s">
        <v>1133</v>
      </c>
      <c r="F165" s="1" t="s">
        <v>73</v>
      </c>
      <c r="G165" s="1" t="s">
        <v>1219</v>
      </c>
      <c r="H165" s="1" t="s">
        <v>1220</v>
      </c>
      <c r="I165" s="1" t="s">
        <v>434</v>
      </c>
      <c r="J165" s="1" t="s">
        <v>435</v>
      </c>
      <c r="K165" s="2">
        <v>10.855602859999999</v>
      </c>
      <c r="L165" s="2">
        <v>106.74507105000001</v>
      </c>
      <c r="M165" s="1" t="s">
        <v>1221</v>
      </c>
      <c r="N165" s="1" t="s">
        <v>73</v>
      </c>
      <c r="O165" s="1" t="str">
        <f>INT(K165)&amp;"°"&amp;INT(MOD(K165,1)*60)&amp;"'"&amp;
ROUND(MOD(MOD(K165,1)*60,1)*60,1)&amp;"""N"</f>
        <v>10°51'20.2"N</v>
      </c>
      <c r="P165" s="1" t="str">
        <f>INT(L165)&amp;"°"&amp;INT(MOD(L165,1)*60)&amp;"'"&amp;
ROUND(MOD(MOD(L165,1)*60,1)*60,1)&amp;"""E"</f>
        <v>106°44'42.3"E</v>
      </c>
      <c r="Q165" s="1" t="str">
        <f>O165 &amp; " " &amp; P165</f>
        <v>10°51'20.2"N 106°44'42.3"E</v>
      </c>
    </row>
    <row r="166" spans="1:17" ht="15.75" customHeight="1" x14ac:dyDescent="0.2">
      <c r="A166" s="1">
        <v>320</v>
      </c>
      <c r="B166" s="1" t="s">
        <v>1177</v>
      </c>
      <c r="C166" s="1" t="s">
        <v>15</v>
      </c>
      <c r="D166" s="1" t="s">
        <v>16</v>
      </c>
      <c r="E166" s="1" t="s">
        <v>1133</v>
      </c>
      <c r="F166" s="1" t="s">
        <v>73</v>
      </c>
      <c r="G166" s="1" t="s">
        <v>1178</v>
      </c>
      <c r="H166" s="1" t="s">
        <v>1179</v>
      </c>
      <c r="I166" s="1" t="s">
        <v>434</v>
      </c>
      <c r="J166" s="1" t="s">
        <v>435</v>
      </c>
      <c r="K166" s="2">
        <v>10.864576209999999</v>
      </c>
      <c r="L166" s="2">
        <v>106.65700248</v>
      </c>
      <c r="M166" s="1" t="s">
        <v>1180</v>
      </c>
      <c r="N166" s="1" t="s">
        <v>73</v>
      </c>
      <c r="O166" s="1" t="str">
        <f>INT(K166)&amp;"°"&amp;INT(MOD(K166,1)*60)&amp;"'"&amp;
ROUND(MOD(MOD(K166,1)*60,1)*60,1)&amp;"""N"</f>
        <v>10°51'52.5"N</v>
      </c>
      <c r="P166" s="1" t="str">
        <f>INT(L166)&amp;"°"&amp;INT(MOD(L166,1)*60)&amp;"'"&amp;
ROUND(MOD(MOD(L166,1)*60,1)*60,1)&amp;"""E"</f>
        <v>106°39'25.2"E</v>
      </c>
      <c r="Q166" s="1" t="str">
        <f>O166 &amp; " " &amp; P166</f>
        <v>10°51'52.5"N 106°39'25.2"E</v>
      </c>
    </row>
    <row r="167" spans="1:17" ht="15.75" customHeight="1" x14ac:dyDescent="0.2">
      <c r="A167" s="1">
        <v>431</v>
      </c>
      <c r="B167" s="1" t="s">
        <v>1578</v>
      </c>
      <c r="C167" s="1" t="s">
        <v>15</v>
      </c>
      <c r="D167" s="1" t="s">
        <v>16</v>
      </c>
      <c r="E167" s="1" t="s">
        <v>1559</v>
      </c>
      <c r="F167" s="1" t="s">
        <v>1560</v>
      </c>
      <c r="G167" s="1" t="s">
        <v>1579</v>
      </c>
      <c r="H167" s="1" t="s">
        <v>1580</v>
      </c>
      <c r="I167" s="1" t="s">
        <v>21</v>
      </c>
      <c r="J167" s="1" t="s">
        <v>22</v>
      </c>
      <c r="K167" s="2">
        <v>10.86643952</v>
      </c>
      <c r="L167" s="2">
        <v>106.25685845</v>
      </c>
      <c r="M167" s="1" t="s">
        <v>1581</v>
      </c>
      <c r="N167" s="1" t="s">
        <v>1564</v>
      </c>
      <c r="O167" s="1" t="str">
        <f>INT(K167)&amp;"°"&amp;INT(MOD(K167,1)*60)&amp;"'"&amp;
ROUND(MOD(MOD(K167,1)*60,1)*60,1)&amp;"""N"</f>
        <v>10°51'59.2"N</v>
      </c>
      <c r="P167" s="1" t="str">
        <f>INT(L167)&amp;"°"&amp;INT(MOD(L167,1)*60)&amp;"'"&amp;
ROUND(MOD(MOD(L167,1)*60,1)*60,1)&amp;"""E"</f>
        <v>106°15'24.7"E</v>
      </c>
      <c r="Q167" s="1" t="str">
        <f>O167 &amp; " " &amp; P167</f>
        <v>10°51'59.2"N 106°15'24.7"E</v>
      </c>
    </row>
    <row r="168" spans="1:17" ht="15.75" customHeight="1" x14ac:dyDescent="0.2">
      <c r="A168" s="1">
        <v>193</v>
      </c>
      <c r="B168" s="1" t="s">
        <v>728</v>
      </c>
      <c r="C168" s="1" t="s">
        <v>15</v>
      </c>
      <c r="D168" s="1" t="s">
        <v>16</v>
      </c>
      <c r="E168" s="1" t="s">
        <v>701</v>
      </c>
      <c r="F168" s="1" t="s">
        <v>702</v>
      </c>
      <c r="G168" s="1" t="s">
        <v>729</v>
      </c>
      <c r="H168" s="1" t="s">
        <v>730</v>
      </c>
      <c r="I168" s="1" t="s">
        <v>21</v>
      </c>
      <c r="J168" s="1" t="s">
        <v>22</v>
      </c>
      <c r="K168" s="2">
        <v>10.873581079999999</v>
      </c>
      <c r="L168" s="2">
        <v>105.48648115</v>
      </c>
      <c r="M168" s="1" t="s">
        <v>731</v>
      </c>
      <c r="N168" s="1" t="s">
        <v>702</v>
      </c>
      <c r="O168" s="1" t="str">
        <f>INT(K168)&amp;"°"&amp;INT(MOD(K168,1)*60)&amp;"'"&amp;
ROUND(MOD(MOD(K168,1)*60,1)*60,1)&amp;"""N"</f>
        <v>10°52'24.9"N</v>
      </c>
      <c r="P168" s="1" t="str">
        <f>INT(L168)&amp;"°"&amp;INT(MOD(L168,1)*60)&amp;"'"&amp;
ROUND(MOD(MOD(L168,1)*60,1)*60,1)&amp;"""E"</f>
        <v>105°29'11.3"E</v>
      </c>
      <c r="Q168" s="1" t="str">
        <f>O168 &amp; " " &amp; P168</f>
        <v>10°52'24.9"N 105°29'11.3"E</v>
      </c>
    </row>
    <row r="169" spans="1:17" ht="15.75" customHeight="1" x14ac:dyDescent="0.2">
      <c r="A169" s="1">
        <v>314</v>
      </c>
      <c r="B169" s="1" t="s">
        <v>1154</v>
      </c>
      <c r="C169" s="1" t="s">
        <v>15</v>
      </c>
      <c r="D169" s="1" t="s">
        <v>16</v>
      </c>
      <c r="E169" s="1" t="s">
        <v>1133</v>
      </c>
      <c r="F169" s="1" t="s">
        <v>73</v>
      </c>
      <c r="G169" s="1" t="s">
        <v>1155</v>
      </c>
      <c r="H169" s="1" t="s">
        <v>1156</v>
      </c>
      <c r="I169" s="1" t="s">
        <v>21</v>
      </c>
      <c r="J169" s="1" t="s">
        <v>22</v>
      </c>
      <c r="K169" s="2">
        <v>10.885777060000001</v>
      </c>
      <c r="L169" s="2">
        <v>106.58986788</v>
      </c>
      <c r="M169" s="1" t="s">
        <v>1155</v>
      </c>
      <c r="N169" s="1" t="s">
        <v>73</v>
      </c>
      <c r="O169" s="1" t="str">
        <f>INT(K169)&amp;"°"&amp;INT(MOD(K169,1)*60)&amp;"'"&amp;
ROUND(MOD(MOD(K169,1)*60,1)*60,1)&amp;"""N"</f>
        <v>10°53'8.8"N</v>
      </c>
      <c r="P169" s="1" t="str">
        <f>INT(L169)&amp;"°"&amp;INT(MOD(L169,1)*60)&amp;"'"&amp;
ROUND(MOD(MOD(L169,1)*60,1)*60,1)&amp;"""E"</f>
        <v>106°35'23.5"E</v>
      </c>
      <c r="Q169" s="1" t="str">
        <f>O169 &amp; " " &amp; P169</f>
        <v>10°53'8.8"N 106°35'23.5"E</v>
      </c>
    </row>
    <row r="170" spans="1:17" ht="15.75" customHeight="1" x14ac:dyDescent="0.2">
      <c r="A170" s="1">
        <v>430</v>
      </c>
      <c r="B170" s="1" t="s">
        <v>1574</v>
      </c>
      <c r="C170" s="1" t="s">
        <v>15</v>
      </c>
      <c r="D170" s="1" t="s">
        <v>16</v>
      </c>
      <c r="E170" s="1" t="s">
        <v>1559</v>
      </c>
      <c r="F170" s="1" t="s">
        <v>1560</v>
      </c>
      <c r="G170" s="1" t="s">
        <v>1575</v>
      </c>
      <c r="H170" s="1" t="s">
        <v>1576</v>
      </c>
      <c r="I170" s="1" t="s">
        <v>21</v>
      </c>
      <c r="J170" s="1" t="s">
        <v>22</v>
      </c>
      <c r="K170" s="2">
        <v>10.88909437</v>
      </c>
      <c r="L170" s="2">
        <v>106.40903763</v>
      </c>
      <c r="M170" s="1" t="s">
        <v>1577</v>
      </c>
      <c r="N170" s="1" t="s">
        <v>1564</v>
      </c>
      <c r="O170" s="1" t="str">
        <f>INT(K170)&amp;"°"&amp;INT(MOD(K170,1)*60)&amp;"'"&amp;
ROUND(MOD(MOD(K170,1)*60,1)*60,1)&amp;"""N"</f>
        <v>10°53'20.7"N</v>
      </c>
      <c r="P170" s="1" t="str">
        <f>INT(L170)&amp;"°"&amp;INT(MOD(L170,1)*60)&amp;"'"&amp;
ROUND(MOD(MOD(L170,1)*60,1)*60,1)&amp;"""E"</f>
        <v>106°24'32.5"E</v>
      </c>
      <c r="Q170" s="1" t="str">
        <f>O170 &amp; " " &amp; P170</f>
        <v>10°53'20.7"N 106°24'32.5"E</v>
      </c>
    </row>
    <row r="171" spans="1:17" ht="15.75" customHeight="1" x14ac:dyDescent="0.2">
      <c r="A171" s="1">
        <v>440</v>
      </c>
      <c r="B171" s="1" t="s">
        <v>1607</v>
      </c>
      <c r="C171" s="1" t="s">
        <v>15</v>
      </c>
      <c r="D171" s="1" t="s">
        <v>16</v>
      </c>
      <c r="E171" s="1" t="s">
        <v>1559</v>
      </c>
      <c r="F171" s="1" t="s">
        <v>1560</v>
      </c>
      <c r="G171" s="1" t="s">
        <v>1608</v>
      </c>
      <c r="H171" s="1" t="s">
        <v>1609</v>
      </c>
      <c r="I171" s="1" t="s">
        <v>21</v>
      </c>
      <c r="J171" s="1" t="s">
        <v>22</v>
      </c>
      <c r="K171" s="2">
        <v>10.90289261</v>
      </c>
      <c r="L171" s="2">
        <v>105.78005055</v>
      </c>
      <c r="M171" s="1" t="s">
        <v>1608</v>
      </c>
      <c r="N171" s="1" t="s">
        <v>1564</v>
      </c>
      <c r="O171" s="1" t="str">
        <f>INT(K171)&amp;"°"&amp;INT(MOD(K171,1)*60)&amp;"'"&amp;
ROUND(MOD(MOD(K171,1)*60,1)*60,1)&amp;"""N"</f>
        <v>10°54'10.4"N</v>
      </c>
      <c r="P171" s="1" t="str">
        <f>INT(L171)&amp;"°"&amp;INT(MOD(L171,1)*60)&amp;"'"&amp;
ROUND(MOD(MOD(L171,1)*60,1)*60,1)&amp;"""E"</f>
        <v>105°46'48.2"E</v>
      </c>
      <c r="Q171" s="1" t="str">
        <f>O171 &amp; " " &amp; P171</f>
        <v>10°54'10.4"N 105°46'48.2"E</v>
      </c>
    </row>
    <row r="172" spans="1:17" ht="15.75" customHeight="1" x14ac:dyDescent="0.2">
      <c r="A172" s="1">
        <v>76</v>
      </c>
      <c r="B172" s="1" t="s">
        <v>307</v>
      </c>
      <c r="C172" s="1" t="s">
        <v>15</v>
      </c>
      <c r="D172" s="1" t="s">
        <v>16</v>
      </c>
      <c r="E172" s="1" t="s">
        <v>292</v>
      </c>
      <c r="F172" s="1" t="s">
        <v>293</v>
      </c>
      <c r="G172" s="1" t="s">
        <v>308</v>
      </c>
      <c r="H172" s="1" t="s">
        <v>309</v>
      </c>
      <c r="I172" s="1" t="s">
        <v>53</v>
      </c>
      <c r="J172" s="1" t="s">
        <v>54</v>
      </c>
      <c r="K172" s="2">
        <v>10.908114640000001</v>
      </c>
      <c r="L172" s="2">
        <v>106.77616245</v>
      </c>
      <c r="M172" s="1" t="s">
        <v>308</v>
      </c>
      <c r="N172" s="1" t="s">
        <v>73</v>
      </c>
      <c r="O172" s="1" t="str">
        <f>INT(K172)&amp;"°"&amp;INT(MOD(K172,1)*60)&amp;"'"&amp;
ROUND(MOD(MOD(K172,1)*60,1)*60,1)&amp;"""N"</f>
        <v>10°54'29.2"N</v>
      </c>
      <c r="P172" s="1" t="str">
        <f>INT(L172)&amp;"°"&amp;INT(MOD(L172,1)*60)&amp;"'"&amp;
ROUND(MOD(MOD(L172,1)*60,1)*60,1)&amp;"""E"</f>
        <v>106°46'34.2"E</v>
      </c>
      <c r="Q172" s="1" t="str">
        <f>O172 &amp; " " &amp; P172</f>
        <v>10°54'29.2"N 106°46'34.2"E</v>
      </c>
    </row>
    <row r="173" spans="1:17" ht="15.75" customHeight="1" x14ac:dyDescent="0.2">
      <c r="A173" s="1">
        <v>173</v>
      </c>
      <c r="B173" s="1" t="s">
        <v>659</v>
      </c>
      <c r="C173" s="1" t="s">
        <v>15</v>
      </c>
      <c r="D173" s="1" t="s">
        <v>16</v>
      </c>
      <c r="E173" s="1" t="s">
        <v>660</v>
      </c>
      <c r="F173" s="1" t="s">
        <v>330</v>
      </c>
      <c r="G173" s="1" t="s">
        <v>661</v>
      </c>
      <c r="H173" s="1" t="s">
        <v>662</v>
      </c>
      <c r="I173" s="1" t="s">
        <v>27</v>
      </c>
      <c r="J173" s="1" t="s">
        <v>28</v>
      </c>
      <c r="K173" s="2">
        <v>10.91790958</v>
      </c>
      <c r="L173" s="2">
        <v>106.88103241</v>
      </c>
      <c r="M173" s="1" t="s">
        <v>663</v>
      </c>
      <c r="N173" s="1" t="s">
        <v>330</v>
      </c>
      <c r="O173" s="1" t="str">
        <f>INT(K173)&amp;"°"&amp;INT(MOD(K173,1)*60)&amp;"'"&amp;
ROUND(MOD(MOD(K173,1)*60,1)*60,1)&amp;"""N"</f>
        <v>10°55'4.5"N</v>
      </c>
      <c r="P173" s="1" t="str">
        <f>INT(L173)&amp;"°"&amp;INT(MOD(L173,1)*60)&amp;"'"&amp;
ROUND(MOD(MOD(L173,1)*60,1)*60,1)&amp;"""E"</f>
        <v>106°52'51.7"E</v>
      </c>
      <c r="Q173" s="1" t="str">
        <f>O173 &amp; " " &amp; P173</f>
        <v>10°55'4.5"N 106°52'51.7"E</v>
      </c>
    </row>
    <row r="174" spans="1:17" ht="15.75" customHeight="1" x14ac:dyDescent="0.2">
      <c r="A174" s="1">
        <v>183</v>
      </c>
      <c r="B174" s="1" t="s">
        <v>697</v>
      </c>
      <c r="C174" s="1" t="s">
        <v>15</v>
      </c>
      <c r="D174" s="1" t="s">
        <v>16</v>
      </c>
      <c r="E174" s="1" t="s">
        <v>660</v>
      </c>
      <c r="F174" s="1" t="s">
        <v>330</v>
      </c>
      <c r="G174" s="1" t="s">
        <v>698</v>
      </c>
      <c r="H174" s="1" t="s">
        <v>699</v>
      </c>
      <c r="I174" s="1" t="s">
        <v>21</v>
      </c>
      <c r="J174" s="1" t="s">
        <v>22</v>
      </c>
      <c r="K174" s="2">
        <v>10.92049014</v>
      </c>
      <c r="L174" s="2">
        <v>107.42448272</v>
      </c>
      <c r="M174" s="1" t="s">
        <v>698</v>
      </c>
      <c r="N174" s="1" t="s">
        <v>330</v>
      </c>
      <c r="O174" s="1" t="str">
        <f>INT(K174)&amp;"°"&amp;INT(MOD(K174,1)*60)&amp;"'"&amp;
ROUND(MOD(MOD(K174,1)*60,1)*60,1)&amp;"""N"</f>
        <v>10°55'13.8"N</v>
      </c>
      <c r="P174" s="1" t="str">
        <f>INT(L174)&amp;"°"&amp;INT(MOD(L174,1)*60)&amp;"'"&amp;
ROUND(MOD(MOD(L174,1)*60,1)*60,1)&amp;"""E"</f>
        <v>107°25'28.1"E</v>
      </c>
      <c r="Q174" s="1" t="str">
        <f>O174 &amp; " " &amp; P174</f>
        <v>10°55'13.8"N 107°25'28.1"E</v>
      </c>
    </row>
    <row r="175" spans="1:17" ht="15.75" customHeight="1" x14ac:dyDescent="0.2">
      <c r="A175" s="1">
        <v>96</v>
      </c>
      <c r="B175" s="1" t="s">
        <v>379</v>
      </c>
      <c r="C175" s="1" t="s">
        <v>15</v>
      </c>
      <c r="D175" s="1" t="s">
        <v>16</v>
      </c>
      <c r="E175" s="1" t="s">
        <v>364</v>
      </c>
      <c r="F175" s="1" t="s">
        <v>365</v>
      </c>
      <c r="G175" s="1" t="s">
        <v>380</v>
      </c>
      <c r="H175" s="1" t="s">
        <v>381</v>
      </c>
      <c r="I175" s="1" t="s">
        <v>21</v>
      </c>
      <c r="J175" s="1" t="s">
        <v>22</v>
      </c>
      <c r="K175" s="2">
        <v>10.93439377</v>
      </c>
      <c r="L175" s="2">
        <v>107.907032</v>
      </c>
      <c r="M175" s="1" t="s">
        <v>382</v>
      </c>
      <c r="N175" s="1" t="s">
        <v>369</v>
      </c>
      <c r="O175" s="1" t="str">
        <f>INT(K175)&amp;"°"&amp;INT(MOD(K175,1)*60)&amp;"'"&amp;
ROUND(MOD(MOD(K175,1)*60,1)*60,1)&amp;"""N"</f>
        <v>10°56'3.8"N</v>
      </c>
      <c r="P175" s="1" t="str">
        <f>INT(L175)&amp;"°"&amp;INT(MOD(L175,1)*60)&amp;"'"&amp;
ROUND(MOD(MOD(L175,1)*60,1)*60,1)&amp;"""E"</f>
        <v>107°54'25.3"E</v>
      </c>
      <c r="Q175" s="1" t="str">
        <f>O175 &amp; " " &amp; P175</f>
        <v>10°56'3.8"N 107°54'25.3"E</v>
      </c>
    </row>
    <row r="176" spans="1:17" ht="15.75" customHeight="1" x14ac:dyDescent="0.2">
      <c r="A176" s="1">
        <v>176</v>
      </c>
      <c r="B176" s="1" t="s">
        <v>670</v>
      </c>
      <c r="C176" s="1" t="s">
        <v>15</v>
      </c>
      <c r="D176" s="1" t="s">
        <v>16</v>
      </c>
      <c r="E176" s="1" t="s">
        <v>660</v>
      </c>
      <c r="F176" s="1" t="s">
        <v>330</v>
      </c>
      <c r="G176" s="1" t="s">
        <v>671</v>
      </c>
      <c r="H176" s="1" t="s">
        <v>672</v>
      </c>
      <c r="I176" s="1" t="s">
        <v>53</v>
      </c>
      <c r="J176" s="1" t="s">
        <v>54</v>
      </c>
      <c r="K176" s="2">
        <v>10.9352266</v>
      </c>
      <c r="L176" s="2">
        <v>107.23640090000001</v>
      </c>
      <c r="M176" s="1" t="s">
        <v>673</v>
      </c>
      <c r="N176" s="1" t="s">
        <v>330</v>
      </c>
      <c r="O176" s="1" t="str">
        <f>INT(K176)&amp;"°"&amp;INT(MOD(K176,1)*60)&amp;"'"&amp;
ROUND(MOD(MOD(K176,1)*60,1)*60,1)&amp;"""N"</f>
        <v>10°56'6.8"N</v>
      </c>
      <c r="P176" s="1" t="str">
        <f>INT(L176)&amp;"°"&amp;INT(MOD(L176,1)*60)&amp;"'"&amp;
ROUND(MOD(MOD(L176,1)*60,1)*60,1)&amp;"""E"</f>
        <v>107°14'11"E</v>
      </c>
      <c r="Q176" s="1" t="str">
        <f>O176 &amp; " " &amp; P176</f>
        <v>10°56'6.8"N 107°14'11"E</v>
      </c>
    </row>
    <row r="177" spans="1:17" ht="15.75" customHeight="1" x14ac:dyDescent="0.2">
      <c r="A177" s="1">
        <v>80</v>
      </c>
      <c r="B177" s="1" t="s">
        <v>320</v>
      </c>
      <c r="C177" s="1" t="s">
        <v>15</v>
      </c>
      <c r="D177" s="1" t="s">
        <v>16</v>
      </c>
      <c r="E177" s="1" t="s">
        <v>292</v>
      </c>
      <c r="F177" s="1" t="s">
        <v>293</v>
      </c>
      <c r="G177" s="1" t="s">
        <v>321</v>
      </c>
      <c r="H177" s="1" t="s">
        <v>322</v>
      </c>
      <c r="I177" s="1" t="s">
        <v>53</v>
      </c>
      <c r="J177" s="1" t="s">
        <v>54</v>
      </c>
      <c r="K177" s="2">
        <v>10.935402679999999</v>
      </c>
      <c r="L177" s="2">
        <v>106.71008381999999</v>
      </c>
      <c r="M177" s="1" t="s">
        <v>323</v>
      </c>
      <c r="N177" s="1" t="s">
        <v>73</v>
      </c>
      <c r="O177" s="1" t="str">
        <f>INT(K177)&amp;"°"&amp;INT(MOD(K177,1)*60)&amp;"'"&amp;
ROUND(MOD(MOD(K177,1)*60,1)*60,1)&amp;"""N"</f>
        <v>10°56'7.4"N</v>
      </c>
      <c r="P177" s="1" t="str">
        <f>INT(L177)&amp;"°"&amp;INT(MOD(L177,1)*60)&amp;"'"&amp;
ROUND(MOD(MOD(L177,1)*60,1)*60,1)&amp;"""E"</f>
        <v>106°42'36.3"E</v>
      </c>
      <c r="Q177" s="1" t="str">
        <f>O177 &amp; " " &amp; P177</f>
        <v>10°56'7.4"N 106°42'36.3"E</v>
      </c>
    </row>
    <row r="178" spans="1:17" ht="15.75" customHeight="1" x14ac:dyDescent="0.2">
      <c r="A178" s="1">
        <v>98</v>
      </c>
      <c r="B178" s="1" t="s">
        <v>385</v>
      </c>
      <c r="C178" s="1" t="s">
        <v>15</v>
      </c>
      <c r="D178" s="1" t="s">
        <v>16</v>
      </c>
      <c r="E178" s="1" t="s">
        <v>364</v>
      </c>
      <c r="F178" s="1" t="s">
        <v>365</v>
      </c>
      <c r="G178" s="1" t="s">
        <v>386</v>
      </c>
      <c r="H178" s="1" t="s">
        <v>387</v>
      </c>
      <c r="I178" s="1" t="s">
        <v>27</v>
      </c>
      <c r="J178" s="1" t="s">
        <v>28</v>
      </c>
      <c r="K178" s="2">
        <v>10.93855235</v>
      </c>
      <c r="L178" s="2">
        <v>108.17680571</v>
      </c>
      <c r="M178" s="1" t="s">
        <v>388</v>
      </c>
      <c r="N178" s="1" t="s">
        <v>369</v>
      </c>
      <c r="O178" s="1" t="str">
        <f>INT(K178)&amp;"°"&amp;INT(MOD(K178,1)*60)&amp;"'"&amp;
ROUND(MOD(MOD(K178,1)*60,1)*60,1)&amp;"""N"</f>
        <v>10°56'18.8"N</v>
      </c>
      <c r="P178" s="1" t="str">
        <f>INT(L178)&amp;"°"&amp;INT(MOD(L178,1)*60)&amp;"'"&amp;
ROUND(MOD(MOD(L178,1)*60,1)*60,1)&amp;"""E"</f>
        <v>108°10'36.5"E</v>
      </c>
      <c r="Q178" s="1" t="str">
        <f>O178 &amp; " " &amp; P178</f>
        <v>10°56'18.8"N 108°10'36.5"E</v>
      </c>
    </row>
    <row r="179" spans="1:17" ht="15.75" customHeight="1" x14ac:dyDescent="0.2">
      <c r="A179" s="1">
        <v>181</v>
      </c>
      <c r="B179" s="1" t="s">
        <v>689</v>
      </c>
      <c r="C179" s="1" t="s">
        <v>15</v>
      </c>
      <c r="D179" s="1" t="s">
        <v>16</v>
      </c>
      <c r="E179" s="1" t="s">
        <v>660</v>
      </c>
      <c r="F179" s="1" t="s">
        <v>330</v>
      </c>
      <c r="G179" s="1" t="s">
        <v>690</v>
      </c>
      <c r="H179" s="1" t="s">
        <v>691</v>
      </c>
      <c r="I179" s="1" t="s">
        <v>21</v>
      </c>
      <c r="J179" s="1" t="s">
        <v>22</v>
      </c>
      <c r="K179" s="2">
        <v>10.969430490000001</v>
      </c>
      <c r="L179" s="2">
        <v>107.03512082</v>
      </c>
      <c r="M179" s="1" t="s">
        <v>692</v>
      </c>
      <c r="N179" s="1" t="s">
        <v>330</v>
      </c>
      <c r="O179" s="1" t="str">
        <f>INT(K179)&amp;"°"&amp;INT(MOD(K179,1)*60)&amp;"'"&amp;
ROUND(MOD(MOD(K179,1)*60,1)*60,1)&amp;"""N"</f>
        <v>10°58'9.9"N</v>
      </c>
      <c r="P179" s="1" t="str">
        <f>INT(L179)&amp;"°"&amp;INT(MOD(L179,1)*60)&amp;"'"&amp;
ROUND(MOD(MOD(L179,1)*60,1)*60,1)&amp;"""E"</f>
        <v>107°2'6.4"E</v>
      </c>
      <c r="Q179" s="1" t="str">
        <f>O179 &amp; " " &amp; P179</f>
        <v>10°58'9.9"N 107°2'6.4"E</v>
      </c>
    </row>
    <row r="180" spans="1:17" ht="15.75" customHeight="1" x14ac:dyDescent="0.2">
      <c r="A180" s="1">
        <v>180</v>
      </c>
      <c r="B180" s="1" t="s">
        <v>685</v>
      </c>
      <c r="C180" s="1" t="s">
        <v>15</v>
      </c>
      <c r="D180" s="1" t="s">
        <v>16</v>
      </c>
      <c r="E180" s="1" t="s">
        <v>660</v>
      </c>
      <c r="F180" s="1" t="s">
        <v>330</v>
      </c>
      <c r="G180" s="1" t="s">
        <v>686</v>
      </c>
      <c r="H180" s="1" t="s">
        <v>687</v>
      </c>
      <c r="I180" s="1" t="s">
        <v>21</v>
      </c>
      <c r="J180" s="1" t="s">
        <v>22</v>
      </c>
      <c r="K180" s="2">
        <v>10.9901512</v>
      </c>
      <c r="L180" s="2">
        <v>107.1548971</v>
      </c>
      <c r="M180" s="1" t="s">
        <v>688</v>
      </c>
      <c r="N180" s="1" t="s">
        <v>330</v>
      </c>
      <c r="O180" s="1" t="str">
        <f>INT(K180)&amp;"°"&amp;INT(MOD(K180,1)*60)&amp;"'"&amp;
ROUND(MOD(MOD(K180,1)*60,1)*60,1)&amp;"""N"</f>
        <v>10°59'24.5"N</v>
      </c>
      <c r="P180" s="1" t="str">
        <f>INT(L180)&amp;"°"&amp;INT(MOD(L180,1)*60)&amp;"'"&amp;
ROUND(MOD(MOD(L180,1)*60,1)*60,1)&amp;"""E"</f>
        <v>107°9'17.6"E</v>
      </c>
      <c r="Q180" s="1" t="str">
        <f>O180 &amp; " " &amp; P180</f>
        <v>10°59'24.5"N 107°9'17.6"E</v>
      </c>
    </row>
    <row r="181" spans="1:17" ht="15.75" customHeight="1" x14ac:dyDescent="0.2">
      <c r="A181" s="1">
        <v>312</v>
      </c>
      <c r="B181" s="1" t="s">
        <v>1147</v>
      </c>
      <c r="C181" s="1" t="s">
        <v>15</v>
      </c>
      <c r="D181" s="1" t="s">
        <v>16</v>
      </c>
      <c r="E181" s="1" t="s">
        <v>1133</v>
      </c>
      <c r="F181" s="1" t="s">
        <v>73</v>
      </c>
      <c r="G181" s="1" t="s">
        <v>1148</v>
      </c>
      <c r="H181" s="1" t="s">
        <v>1149</v>
      </c>
      <c r="I181" s="1" t="s">
        <v>21</v>
      </c>
      <c r="J181" s="1" t="s">
        <v>22</v>
      </c>
      <c r="K181" s="2">
        <v>11.00979549</v>
      </c>
      <c r="L181" s="2">
        <v>106.51068634000001</v>
      </c>
      <c r="M181" s="1" t="s">
        <v>1150</v>
      </c>
      <c r="N181" s="1" t="s">
        <v>73</v>
      </c>
      <c r="O181" s="1" t="str">
        <f>INT(K181)&amp;"°"&amp;INT(MOD(K181,1)*60)&amp;"'"&amp;
ROUND(MOD(MOD(K181,1)*60,1)*60,1)&amp;"""N"</f>
        <v>11°0'35.3"N</v>
      </c>
      <c r="P181" s="1" t="str">
        <f>INT(L181)&amp;"°"&amp;INT(MOD(L181,1)*60)&amp;"'"&amp;
ROUND(MOD(MOD(L181,1)*60,1)*60,1)&amp;"""E"</f>
        <v>106°30'38.5"E</v>
      </c>
      <c r="Q181" s="1" t="str">
        <f>O181 &amp; " " &amp; P181</f>
        <v>11°0'35.3"N 106°30'38.5"E</v>
      </c>
    </row>
    <row r="182" spans="1:17" ht="15.75" customHeight="1" x14ac:dyDescent="0.2">
      <c r="A182" s="1">
        <v>79</v>
      </c>
      <c r="B182" s="1" t="s">
        <v>317</v>
      </c>
      <c r="C182" s="1" t="s">
        <v>15</v>
      </c>
      <c r="D182" s="1" t="s">
        <v>16</v>
      </c>
      <c r="E182" s="1" t="s">
        <v>292</v>
      </c>
      <c r="F182" s="1" t="s">
        <v>293</v>
      </c>
      <c r="G182" s="1" t="s">
        <v>318</v>
      </c>
      <c r="H182" s="1" t="s">
        <v>319</v>
      </c>
      <c r="I182" s="1" t="s">
        <v>27</v>
      </c>
      <c r="J182" s="1" t="s">
        <v>28</v>
      </c>
      <c r="K182" s="2">
        <v>11.02169673</v>
      </c>
      <c r="L182" s="2">
        <v>106.66443829000001</v>
      </c>
      <c r="M182" s="1" t="s">
        <v>293</v>
      </c>
      <c r="N182" s="1" t="s">
        <v>73</v>
      </c>
      <c r="O182" s="1" t="str">
        <f>INT(K182)&amp;"°"&amp;INT(MOD(K182,1)*60)&amp;"'"&amp;
ROUND(MOD(MOD(K182,1)*60,1)*60,1)&amp;"""N"</f>
        <v>11°1'18.1"N</v>
      </c>
      <c r="P182" s="1" t="str">
        <f>INT(L182)&amp;"°"&amp;INT(MOD(L182,1)*60)&amp;"'"&amp;
ROUND(MOD(MOD(L182,1)*60,1)*60,1)&amp;"""E"</f>
        <v>106°39'52"E</v>
      </c>
      <c r="Q182" s="1" t="str">
        <f>O182 &amp; " " &amp; P182</f>
        <v>11°1'18.1"N 106°39'52"E</v>
      </c>
    </row>
    <row r="183" spans="1:17" ht="15.75" customHeight="1" x14ac:dyDescent="0.2">
      <c r="A183" s="1">
        <v>78</v>
      </c>
      <c r="B183" s="1" t="s">
        <v>313</v>
      </c>
      <c r="C183" s="1" t="s">
        <v>15</v>
      </c>
      <c r="D183" s="1" t="s">
        <v>16</v>
      </c>
      <c r="E183" s="1" t="s">
        <v>292</v>
      </c>
      <c r="F183" s="1" t="s">
        <v>293</v>
      </c>
      <c r="G183" s="1" t="s">
        <v>314</v>
      </c>
      <c r="H183" s="1" t="s">
        <v>315</v>
      </c>
      <c r="I183" s="1" t="s">
        <v>53</v>
      </c>
      <c r="J183" s="1" t="s">
        <v>54</v>
      </c>
      <c r="K183" s="2">
        <v>11.063207520000001</v>
      </c>
      <c r="L183" s="2">
        <v>106.75223708999999</v>
      </c>
      <c r="M183" s="1" t="s">
        <v>316</v>
      </c>
      <c r="N183" s="1" t="s">
        <v>73</v>
      </c>
      <c r="O183" s="1" t="str">
        <f>INT(K183)&amp;"°"&amp;INT(MOD(K183,1)*60)&amp;"'"&amp;
ROUND(MOD(MOD(K183,1)*60,1)*60,1)&amp;"""N"</f>
        <v>11°3'47.5"N</v>
      </c>
      <c r="P183" s="1" t="str">
        <f>INT(L183)&amp;"°"&amp;INT(MOD(L183,1)*60)&amp;"'"&amp;
ROUND(MOD(MOD(L183,1)*60,1)*60,1)&amp;"""E"</f>
        <v>106°45'8.1"E</v>
      </c>
      <c r="Q183" s="1" t="str">
        <f>O183 &amp; " " &amp; P183</f>
        <v>11°3'47.5"N 106°45'8.1"E</v>
      </c>
    </row>
    <row r="184" spans="1:17" ht="15.75" customHeight="1" x14ac:dyDescent="0.2">
      <c r="A184" s="1">
        <v>604</v>
      </c>
      <c r="B184" s="1" t="s">
        <v>2186</v>
      </c>
      <c r="C184" s="1" t="s">
        <v>15</v>
      </c>
      <c r="D184" s="1" t="s">
        <v>16</v>
      </c>
      <c r="E184" s="1" t="s">
        <v>2161</v>
      </c>
      <c r="F184" s="1" t="s">
        <v>1564</v>
      </c>
      <c r="G184" s="1" t="s">
        <v>2187</v>
      </c>
      <c r="H184" s="1" t="s">
        <v>2188</v>
      </c>
      <c r="I184" s="1" t="s">
        <v>21</v>
      </c>
      <c r="J184" s="1" t="s">
        <v>22</v>
      </c>
      <c r="K184" s="2">
        <v>11.07938349</v>
      </c>
      <c r="L184" s="2">
        <v>106.33743984</v>
      </c>
      <c r="M184" s="1" t="s">
        <v>1028</v>
      </c>
      <c r="N184" s="1" t="s">
        <v>1564</v>
      </c>
      <c r="O184" s="1" t="str">
        <f>INT(K184)&amp;"°"&amp;INT(MOD(K184,1)*60)&amp;"'"&amp;
ROUND(MOD(MOD(K184,1)*60,1)*60,1)&amp;"""N"</f>
        <v>11°4'45.8"N</v>
      </c>
      <c r="P184" s="1" t="str">
        <f>INT(L184)&amp;"°"&amp;INT(MOD(L184,1)*60)&amp;"'"&amp;
ROUND(MOD(MOD(L184,1)*60,1)*60,1)&amp;"""E"</f>
        <v>106°20'14.8"E</v>
      </c>
      <c r="Q184" s="1" t="str">
        <f>O184 &amp; " " &amp; P184</f>
        <v>11°4'45.8"N 106°20'14.8"E</v>
      </c>
    </row>
    <row r="185" spans="1:17" ht="15.75" customHeight="1" x14ac:dyDescent="0.2">
      <c r="A185" s="1">
        <v>100</v>
      </c>
      <c r="B185" s="1" t="s">
        <v>393</v>
      </c>
      <c r="C185" s="1" t="s">
        <v>15</v>
      </c>
      <c r="D185" s="1" t="s">
        <v>16</v>
      </c>
      <c r="E185" s="1" t="s">
        <v>364</v>
      </c>
      <c r="F185" s="1" t="s">
        <v>365</v>
      </c>
      <c r="G185" s="1" t="s">
        <v>394</v>
      </c>
      <c r="H185" s="1" t="s">
        <v>395</v>
      </c>
      <c r="I185" s="1" t="s">
        <v>21</v>
      </c>
      <c r="J185" s="1" t="s">
        <v>22</v>
      </c>
      <c r="K185" s="2">
        <v>11.11111958</v>
      </c>
      <c r="L185" s="2">
        <v>107.70507152</v>
      </c>
      <c r="M185" s="1" t="s">
        <v>394</v>
      </c>
      <c r="N185" s="1" t="s">
        <v>369</v>
      </c>
      <c r="O185" s="1" t="str">
        <f>INT(K185)&amp;"°"&amp;INT(MOD(K185,1)*60)&amp;"'"&amp;
ROUND(MOD(MOD(K185,1)*60,1)*60,1)&amp;"""N"</f>
        <v>11°6'40"N</v>
      </c>
      <c r="P185" s="1" t="str">
        <f>INT(L185)&amp;"°"&amp;INT(MOD(L185,1)*60)&amp;"'"&amp;
ROUND(MOD(MOD(L185,1)*60,1)*60,1)&amp;"""E"</f>
        <v>107°42'18.3"E</v>
      </c>
      <c r="Q185" s="1" t="str">
        <f>O185 &amp; " " &amp; P185</f>
        <v>11°6'40"N 107°42'18.3"E</v>
      </c>
    </row>
    <row r="186" spans="1:17" ht="15.75" customHeight="1" x14ac:dyDescent="0.2">
      <c r="A186" s="1">
        <v>74</v>
      </c>
      <c r="B186" s="1" t="s">
        <v>300</v>
      </c>
      <c r="C186" s="1" t="s">
        <v>15</v>
      </c>
      <c r="D186" s="1" t="s">
        <v>16</v>
      </c>
      <c r="E186" s="1" t="s">
        <v>292</v>
      </c>
      <c r="F186" s="1" t="s">
        <v>293</v>
      </c>
      <c r="G186" s="1" t="s">
        <v>301</v>
      </c>
      <c r="H186" s="1" t="s">
        <v>302</v>
      </c>
      <c r="I186" s="1" t="s">
        <v>53</v>
      </c>
      <c r="J186" s="1" t="s">
        <v>54</v>
      </c>
      <c r="K186" s="2">
        <v>11.115166220000001</v>
      </c>
      <c r="L186" s="2">
        <v>106.60731561999999</v>
      </c>
      <c r="M186" s="1" t="s">
        <v>303</v>
      </c>
      <c r="N186" s="1" t="s">
        <v>73</v>
      </c>
      <c r="O186" s="1" t="str">
        <f>INT(K186)&amp;"°"&amp;INT(MOD(K186,1)*60)&amp;"'"&amp;
ROUND(MOD(MOD(K186,1)*60,1)*60,1)&amp;"""N"</f>
        <v>11°6'54.6"N</v>
      </c>
      <c r="P186" s="1" t="str">
        <f>INT(L186)&amp;"°"&amp;INT(MOD(L186,1)*60)&amp;"'"&amp;
ROUND(MOD(MOD(L186,1)*60,1)*60,1)&amp;"""E"</f>
        <v>106°36'26.3"E</v>
      </c>
      <c r="Q186" s="1" t="str">
        <f>O186 &amp; " " &amp; P186</f>
        <v>11°6'54.6"N 106°36'26.3"E</v>
      </c>
    </row>
    <row r="187" spans="1:17" ht="15.75" customHeight="1" x14ac:dyDescent="0.2">
      <c r="A187" s="1">
        <v>596</v>
      </c>
      <c r="B187" s="1" t="s">
        <v>2160</v>
      </c>
      <c r="C187" s="1" t="s">
        <v>15</v>
      </c>
      <c r="D187" s="1" t="s">
        <v>16</v>
      </c>
      <c r="E187" s="1" t="s">
        <v>2161</v>
      </c>
      <c r="F187" s="1" t="s">
        <v>1564</v>
      </c>
      <c r="G187" s="1" t="s">
        <v>2162</v>
      </c>
      <c r="H187" s="1" t="s">
        <v>2163</v>
      </c>
      <c r="I187" s="1" t="s">
        <v>21</v>
      </c>
      <c r="J187" s="1" t="s">
        <v>22</v>
      </c>
      <c r="K187" s="2">
        <v>11.12982523</v>
      </c>
      <c r="L187" s="2">
        <v>106.1385544</v>
      </c>
      <c r="M187" s="1" t="s">
        <v>2162</v>
      </c>
      <c r="N187" s="1" t="s">
        <v>1564</v>
      </c>
      <c r="O187" s="1" t="str">
        <f>INT(K187)&amp;"°"&amp;INT(MOD(K187,1)*60)&amp;"'"&amp;
ROUND(MOD(MOD(K187,1)*60,1)*60,1)&amp;"""N"</f>
        <v>11°7'47.4"N</v>
      </c>
      <c r="P187" s="1" t="str">
        <f>INT(L187)&amp;"°"&amp;INT(MOD(L187,1)*60)&amp;"'"&amp;
ROUND(MOD(MOD(L187,1)*60,1)*60,1)&amp;"""E"</f>
        <v>106°8'18.8"E</v>
      </c>
      <c r="Q187" s="1" t="str">
        <f>O187 &amp; " " &amp; P187</f>
        <v>11°7'47.4"N 106°8'18.8"E</v>
      </c>
    </row>
    <row r="188" spans="1:17" ht="15.75" customHeight="1" x14ac:dyDescent="0.2">
      <c r="A188" s="1">
        <v>72</v>
      </c>
      <c r="B188" s="1" t="s">
        <v>291</v>
      </c>
      <c r="C188" s="1" t="s">
        <v>15</v>
      </c>
      <c r="D188" s="1" t="s">
        <v>16</v>
      </c>
      <c r="E188" s="1" t="s">
        <v>292</v>
      </c>
      <c r="F188" s="1" t="s">
        <v>293</v>
      </c>
      <c r="G188" s="1" t="s">
        <v>294</v>
      </c>
      <c r="H188" s="1" t="s">
        <v>295</v>
      </c>
      <c r="I188" s="1" t="s">
        <v>21</v>
      </c>
      <c r="J188" s="1" t="s">
        <v>22</v>
      </c>
      <c r="K188" s="2">
        <v>11.14046971</v>
      </c>
      <c r="L188" s="2">
        <v>106.84905581</v>
      </c>
      <c r="M188" s="1" t="s">
        <v>294</v>
      </c>
      <c r="N188" s="1" t="s">
        <v>73</v>
      </c>
      <c r="O188" s="1" t="str">
        <f>INT(K188)&amp;"°"&amp;INT(MOD(K188,1)*60)&amp;"'"&amp;
ROUND(MOD(MOD(K188,1)*60,1)*60,1)&amp;"""N"</f>
        <v>11°8'25.7"N</v>
      </c>
      <c r="P188" s="1" t="str">
        <f>INT(L188)&amp;"°"&amp;INT(MOD(L188,1)*60)&amp;"'"&amp;
ROUND(MOD(MOD(L188,1)*60,1)*60,1)&amp;"""E"</f>
        <v>106°50'56.6"E</v>
      </c>
      <c r="Q188" s="1" t="str">
        <f>O188 &amp; " " &amp; P188</f>
        <v>11°8'25.7"N 106°50'56.6"E</v>
      </c>
    </row>
    <row r="189" spans="1:17" ht="15.75" customHeight="1" x14ac:dyDescent="0.2">
      <c r="A189" s="1">
        <v>95</v>
      </c>
      <c r="B189" s="1" t="s">
        <v>376</v>
      </c>
      <c r="C189" s="1" t="s">
        <v>15</v>
      </c>
      <c r="D189" s="1" t="s">
        <v>16</v>
      </c>
      <c r="E189" s="1" t="s">
        <v>364</v>
      </c>
      <c r="F189" s="1" t="s">
        <v>365</v>
      </c>
      <c r="G189" s="1" t="s">
        <v>377</v>
      </c>
      <c r="H189" s="1" t="s">
        <v>378</v>
      </c>
      <c r="I189" s="1" t="s">
        <v>21</v>
      </c>
      <c r="J189" s="1" t="s">
        <v>22</v>
      </c>
      <c r="K189" s="2">
        <v>11.15741014</v>
      </c>
      <c r="L189" s="2">
        <v>108.05300522</v>
      </c>
      <c r="M189" s="1" t="s">
        <v>377</v>
      </c>
      <c r="N189" s="1" t="s">
        <v>369</v>
      </c>
      <c r="O189" s="1" t="str">
        <f>INT(K189)&amp;"°"&amp;INT(MOD(K189,1)*60)&amp;"'"&amp;
ROUND(MOD(MOD(K189,1)*60,1)*60,1)&amp;"""N"</f>
        <v>11°9'26.7"N</v>
      </c>
      <c r="P189" s="1" t="str">
        <f>INT(L189)&amp;"°"&amp;INT(MOD(L189,1)*60)&amp;"'"&amp;
ROUND(MOD(MOD(L189,1)*60,1)*60,1)&amp;"""E"</f>
        <v>108°3'10.8"E</v>
      </c>
      <c r="Q189" s="1" t="str">
        <f>O189 &amp; " " &amp; P189</f>
        <v>11°9'26.7"N 108°3'10.8"E</v>
      </c>
    </row>
    <row r="190" spans="1:17" ht="15.75" customHeight="1" x14ac:dyDescent="0.2">
      <c r="A190" s="1">
        <v>599</v>
      </c>
      <c r="B190" s="1" t="s">
        <v>2170</v>
      </c>
      <c r="C190" s="1" t="s">
        <v>15</v>
      </c>
      <c r="D190" s="1" t="s">
        <v>16</v>
      </c>
      <c r="E190" s="1" t="s">
        <v>2161</v>
      </c>
      <c r="F190" s="1" t="s">
        <v>1564</v>
      </c>
      <c r="G190" s="1" t="s">
        <v>2171</v>
      </c>
      <c r="H190" s="1" t="s">
        <v>2172</v>
      </c>
      <c r="I190" s="1" t="s">
        <v>21</v>
      </c>
      <c r="J190" s="1" t="s">
        <v>22</v>
      </c>
      <c r="K190" s="2">
        <v>11.158511880000001</v>
      </c>
      <c r="L190" s="2">
        <v>106.2574168</v>
      </c>
      <c r="M190" s="1" t="s">
        <v>2173</v>
      </c>
      <c r="N190" s="1" t="s">
        <v>1564</v>
      </c>
      <c r="O190" s="1" t="str">
        <f>INT(K190)&amp;"°"&amp;INT(MOD(K190,1)*60)&amp;"'"&amp;
ROUND(MOD(MOD(K190,1)*60,1)*60,1)&amp;"""N"</f>
        <v>11°9'30.6"N</v>
      </c>
      <c r="P190" s="1" t="str">
        <f>INT(L190)&amp;"°"&amp;INT(MOD(L190,1)*60)&amp;"'"&amp;
ROUND(MOD(MOD(L190,1)*60,1)*60,1)&amp;"""E"</f>
        <v>106°15'26.7"E</v>
      </c>
      <c r="Q190" s="1" t="str">
        <f>O190 &amp; " " &amp; P190</f>
        <v>11°9'30.6"N 106°15'26.7"E</v>
      </c>
    </row>
    <row r="191" spans="1:17" ht="15.75" customHeight="1" x14ac:dyDescent="0.2">
      <c r="A191" s="1">
        <v>93</v>
      </c>
      <c r="B191" s="1" t="s">
        <v>370</v>
      </c>
      <c r="C191" s="1" t="s">
        <v>15</v>
      </c>
      <c r="D191" s="1" t="s">
        <v>16</v>
      </c>
      <c r="E191" s="1" t="s">
        <v>364</v>
      </c>
      <c r="F191" s="1" t="s">
        <v>365</v>
      </c>
      <c r="G191" s="1" t="s">
        <v>371</v>
      </c>
      <c r="H191" s="1" t="s">
        <v>372</v>
      </c>
      <c r="I191" s="1" t="s">
        <v>21</v>
      </c>
      <c r="J191" s="1" t="s">
        <v>22</v>
      </c>
      <c r="K191" s="2">
        <v>11.183021869999999</v>
      </c>
      <c r="L191" s="2">
        <v>107.54101316000001</v>
      </c>
      <c r="M191" s="1" t="s">
        <v>371</v>
      </c>
      <c r="N191" s="1" t="s">
        <v>369</v>
      </c>
      <c r="O191" s="1" t="str">
        <f>INT(K191)&amp;"°"&amp;INT(MOD(K191,1)*60)&amp;"'"&amp;
ROUND(MOD(MOD(K191,1)*60,1)*60,1)&amp;"""N"</f>
        <v>11°10'58.9"N</v>
      </c>
      <c r="P191" s="1" t="str">
        <f>INT(L191)&amp;"°"&amp;INT(MOD(L191,1)*60)&amp;"'"&amp;
ROUND(MOD(MOD(L191,1)*60,1)*60,1)&amp;"""E"</f>
        <v>107°32'27.6"E</v>
      </c>
      <c r="Q191" s="1" t="str">
        <f>O191 &amp; " " &amp; P191</f>
        <v>11°10'58.9"N 107°32'27.6"E</v>
      </c>
    </row>
    <row r="192" spans="1:17" ht="15.75" customHeight="1" x14ac:dyDescent="0.2">
      <c r="A192" s="1">
        <v>175</v>
      </c>
      <c r="B192" s="1" t="s">
        <v>667</v>
      </c>
      <c r="C192" s="1" t="s">
        <v>15</v>
      </c>
      <c r="D192" s="1" t="s">
        <v>16</v>
      </c>
      <c r="E192" s="1" t="s">
        <v>660</v>
      </c>
      <c r="F192" s="1" t="s">
        <v>330</v>
      </c>
      <c r="G192" s="1" t="s">
        <v>668</v>
      </c>
      <c r="H192" s="1" t="s">
        <v>669</v>
      </c>
      <c r="I192" s="1" t="s">
        <v>21</v>
      </c>
      <c r="J192" s="1" t="s">
        <v>22</v>
      </c>
      <c r="K192" s="2">
        <v>11.198590530000001</v>
      </c>
      <c r="L192" s="2">
        <v>107.28818664000001</v>
      </c>
      <c r="M192" s="1" t="s">
        <v>668</v>
      </c>
      <c r="N192" s="1" t="s">
        <v>330</v>
      </c>
      <c r="O192" s="1" t="str">
        <f>INT(K192)&amp;"°"&amp;INT(MOD(K192,1)*60)&amp;"'"&amp;
ROUND(MOD(MOD(K192,1)*60,1)*60,1)&amp;"""N"</f>
        <v>11°11'54.9"N</v>
      </c>
      <c r="P192" s="1" t="str">
        <f>INT(L192)&amp;"°"&amp;INT(MOD(L192,1)*60)&amp;"'"&amp;
ROUND(MOD(MOD(L192,1)*60,1)*60,1)&amp;"""E"</f>
        <v>107°17'17.5"E</v>
      </c>
      <c r="Q192" s="1" t="str">
        <f>O192 &amp; " " &amp; P192</f>
        <v>11°11'54.9"N 107°17'17.5"E</v>
      </c>
    </row>
    <row r="193" spans="1:17" ht="15.75" customHeight="1" x14ac:dyDescent="0.2">
      <c r="A193" s="1">
        <v>182</v>
      </c>
      <c r="B193" s="1" t="s">
        <v>693</v>
      </c>
      <c r="C193" s="1" t="s">
        <v>15</v>
      </c>
      <c r="D193" s="1" t="s">
        <v>16</v>
      </c>
      <c r="E193" s="1" t="s">
        <v>660</v>
      </c>
      <c r="F193" s="1" t="s">
        <v>330</v>
      </c>
      <c r="G193" s="1" t="s">
        <v>694</v>
      </c>
      <c r="H193" s="1" t="s">
        <v>695</v>
      </c>
      <c r="I193" s="1" t="s">
        <v>21</v>
      </c>
      <c r="J193" s="1" t="s">
        <v>22</v>
      </c>
      <c r="K193" s="2">
        <v>11.238688079999999</v>
      </c>
      <c r="L193" s="2">
        <v>107.05016012999999</v>
      </c>
      <c r="M193" s="1" t="s">
        <v>696</v>
      </c>
      <c r="N193" s="1" t="s">
        <v>330</v>
      </c>
      <c r="O193" s="1" t="str">
        <f>INT(K193)&amp;"°"&amp;INT(MOD(K193,1)*60)&amp;"'"&amp;
ROUND(MOD(MOD(K193,1)*60,1)*60,1)&amp;"""N"</f>
        <v>11°14'19.3"N</v>
      </c>
      <c r="P193" s="1" t="str">
        <f>INT(L193)&amp;"°"&amp;INT(MOD(L193,1)*60)&amp;"'"&amp;
ROUND(MOD(MOD(L193,1)*60,1)*60,1)&amp;"""E"</f>
        <v>107°3'0.6"E</v>
      </c>
      <c r="Q193" s="1" t="str">
        <f>O193 &amp; " " &amp; P193</f>
        <v>11°14'19.3"N 107°3'0.6"E</v>
      </c>
    </row>
    <row r="194" spans="1:17" ht="15.75" customHeight="1" x14ac:dyDescent="0.2">
      <c r="A194" s="1">
        <v>600</v>
      </c>
      <c r="B194" s="1" t="s">
        <v>2174</v>
      </c>
      <c r="C194" s="1" t="s">
        <v>15</v>
      </c>
      <c r="D194" s="1" t="s">
        <v>16</v>
      </c>
      <c r="E194" s="1" t="s">
        <v>2161</v>
      </c>
      <c r="F194" s="1" t="s">
        <v>1564</v>
      </c>
      <c r="G194" s="1" t="s">
        <v>2175</v>
      </c>
      <c r="H194" s="1" t="s">
        <v>2176</v>
      </c>
      <c r="I194" s="1" t="s">
        <v>21</v>
      </c>
      <c r="J194" s="1" t="s">
        <v>22</v>
      </c>
      <c r="K194" s="2">
        <v>11.26188404</v>
      </c>
      <c r="L194" s="2">
        <v>106.14775693</v>
      </c>
      <c r="M194" s="1" t="s">
        <v>2177</v>
      </c>
      <c r="N194" s="1" t="s">
        <v>1564</v>
      </c>
      <c r="O194" s="1" t="str">
        <f>INT(K194)&amp;"°"&amp;INT(MOD(K194,1)*60)&amp;"'"&amp;
ROUND(MOD(MOD(K194,1)*60,1)*60,1)&amp;"""N"</f>
        <v>11°15'42.8"N</v>
      </c>
      <c r="P194" s="1" t="str">
        <f>INT(L194)&amp;"°"&amp;INT(MOD(L194,1)*60)&amp;"'"&amp;
ROUND(MOD(MOD(L194,1)*60,1)*60,1)&amp;"""E"</f>
        <v>106°8'51.9"E</v>
      </c>
      <c r="Q194" s="1" t="str">
        <f>O194 &amp; " " &amp; P194</f>
        <v>11°15'42.8"N 106°8'51.9"E</v>
      </c>
    </row>
    <row r="195" spans="1:17" ht="15.75" customHeight="1" x14ac:dyDescent="0.2">
      <c r="A195" s="1">
        <v>73</v>
      </c>
      <c r="B195" s="1" t="s">
        <v>296</v>
      </c>
      <c r="C195" s="1" t="s">
        <v>15</v>
      </c>
      <c r="D195" s="1" t="s">
        <v>16</v>
      </c>
      <c r="E195" s="1" t="s">
        <v>292</v>
      </c>
      <c r="F195" s="1" t="s">
        <v>293</v>
      </c>
      <c r="G195" s="1" t="s">
        <v>297</v>
      </c>
      <c r="H195" s="1" t="s">
        <v>298</v>
      </c>
      <c r="I195" s="1" t="s">
        <v>21</v>
      </c>
      <c r="J195" s="1" t="s">
        <v>22</v>
      </c>
      <c r="K195" s="2">
        <v>11.26385357</v>
      </c>
      <c r="L195" s="2">
        <v>106.60553048</v>
      </c>
      <c r="M195" s="1" t="s">
        <v>299</v>
      </c>
      <c r="N195" s="1" t="s">
        <v>73</v>
      </c>
      <c r="O195" s="1" t="str">
        <f>INT(K195)&amp;"°"&amp;INT(MOD(K195,1)*60)&amp;"'"&amp;
ROUND(MOD(MOD(K195,1)*60,1)*60,1)&amp;"""N"</f>
        <v>11°15'49.9"N</v>
      </c>
      <c r="P195" s="1" t="str">
        <f>INT(L195)&amp;"°"&amp;INT(MOD(L195,1)*60)&amp;"'"&amp;
ROUND(MOD(MOD(L195,1)*60,1)*60,1)&amp;"""E"</f>
        <v>106°36'19.9"E</v>
      </c>
      <c r="Q195" s="1" t="str">
        <f>O195 &amp; " " &amp; P195</f>
        <v>11°15'49.9"N 106°36'19.9"E</v>
      </c>
    </row>
    <row r="196" spans="1:17" ht="15.75" customHeight="1" x14ac:dyDescent="0.2">
      <c r="A196" s="1">
        <v>92</v>
      </c>
      <c r="B196" s="1" t="s">
        <v>363</v>
      </c>
      <c r="C196" s="1" t="s">
        <v>15</v>
      </c>
      <c r="D196" s="1" t="s">
        <v>16</v>
      </c>
      <c r="E196" s="1" t="s">
        <v>364</v>
      </c>
      <c r="F196" s="1" t="s">
        <v>365</v>
      </c>
      <c r="G196" s="1" t="s">
        <v>366</v>
      </c>
      <c r="H196" s="1" t="s">
        <v>367</v>
      </c>
      <c r="I196" s="1" t="s">
        <v>21</v>
      </c>
      <c r="J196" s="1" t="s">
        <v>22</v>
      </c>
      <c r="K196" s="2">
        <v>11.283653360000001</v>
      </c>
      <c r="L196" s="2">
        <v>108.39568249</v>
      </c>
      <c r="M196" s="1" t="s">
        <v>368</v>
      </c>
      <c r="N196" s="1" t="s">
        <v>369</v>
      </c>
      <c r="O196" s="1" t="str">
        <f>INT(K196)&amp;"°"&amp;INT(MOD(K196,1)*60)&amp;"'"&amp;
ROUND(MOD(MOD(K196,1)*60,1)*60,1)&amp;"""N"</f>
        <v>11°17'1.2"N</v>
      </c>
      <c r="P196" s="1" t="str">
        <f>INT(L196)&amp;"°"&amp;INT(MOD(L196,1)*60)&amp;"'"&amp;
ROUND(MOD(MOD(L196,1)*60,1)*60,1)&amp;"""E"</f>
        <v>108°23'44.5"E</v>
      </c>
      <c r="Q196" s="1" t="str">
        <f>O196 &amp; " " &amp; P196</f>
        <v>11°17'1.2"N 108°23'44.5"E</v>
      </c>
    </row>
    <row r="197" spans="1:17" ht="15.75" customHeight="1" x14ac:dyDescent="0.2">
      <c r="A197" s="1">
        <v>597</v>
      </c>
      <c r="B197" s="1" t="s">
        <v>2164</v>
      </c>
      <c r="C197" s="1" t="s">
        <v>15</v>
      </c>
      <c r="D197" s="1" t="s">
        <v>16</v>
      </c>
      <c r="E197" s="1" t="s">
        <v>2161</v>
      </c>
      <c r="F197" s="1" t="s">
        <v>1564</v>
      </c>
      <c r="G197" s="1" t="s">
        <v>35</v>
      </c>
      <c r="H197" s="1" t="s">
        <v>36</v>
      </c>
      <c r="I197" s="1" t="s">
        <v>21</v>
      </c>
      <c r="J197" s="1" t="s">
        <v>22</v>
      </c>
      <c r="K197" s="2">
        <v>11.31262276</v>
      </c>
      <c r="L197" s="2">
        <v>105.99081326</v>
      </c>
      <c r="M197" s="1" t="s">
        <v>2165</v>
      </c>
      <c r="N197" s="1" t="s">
        <v>1564</v>
      </c>
      <c r="O197" s="1" t="str">
        <f>INT(K197)&amp;"°"&amp;INT(MOD(K197,1)*60)&amp;"'"&amp;
ROUND(MOD(MOD(K197,1)*60,1)*60,1)&amp;"""N"</f>
        <v>11°18'45.4"N</v>
      </c>
      <c r="P197" s="1" t="str">
        <f>INT(L197)&amp;"°"&amp;INT(MOD(L197,1)*60)&amp;"'"&amp;
ROUND(MOD(MOD(L197,1)*60,1)*60,1)&amp;"""E"</f>
        <v>105°59'26.9"E</v>
      </c>
      <c r="Q197" s="1" t="str">
        <f>O197 &amp; " " &amp; P197</f>
        <v>11°18'45.4"N 105°59'26.9"E</v>
      </c>
    </row>
    <row r="198" spans="1:17" ht="15.75" customHeight="1" x14ac:dyDescent="0.2">
      <c r="A198" s="1">
        <v>77</v>
      </c>
      <c r="B198" s="1" t="s">
        <v>310</v>
      </c>
      <c r="C198" s="1" t="s">
        <v>15</v>
      </c>
      <c r="D198" s="1" t="s">
        <v>16</v>
      </c>
      <c r="E198" s="1" t="s">
        <v>292</v>
      </c>
      <c r="F198" s="1" t="s">
        <v>293</v>
      </c>
      <c r="G198" s="1" t="s">
        <v>311</v>
      </c>
      <c r="H198" s="1" t="s">
        <v>312</v>
      </c>
      <c r="I198" s="1" t="s">
        <v>21</v>
      </c>
      <c r="J198" s="1" t="s">
        <v>22</v>
      </c>
      <c r="K198" s="2">
        <v>11.314966569999999</v>
      </c>
      <c r="L198" s="2">
        <v>106.78728024999999</v>
      </c>
      <c r="M198" s="1" t="s">
        <v>311</v>
      </c>
      <c r="N198" s="1" t="s">
        <v>73</v>
      </c>
      <c r="O198" s="1" t="str">
        <f>INT(K198)&amp;"°"&amp;INT(MOD(K198,1)*60)&amp;"'"&amp;
ROUND(MOD(MOD(K198,1)*60,1)*60,1)&amp;"""N"</f>
        <v>11°18'53.9"N</v>
      </c>
      <c r="P198" s="1" t="str">
        <f>INT(L198)&amp;"°"&amp;INT(MOD(L198,1)*60)&amp;"'"&amp;
ROUND(MOD(MOD(L198,1)*60,1)*60,1)&amp;"""E"</f>
        <v>106°47'14.2"E</v>
      </c>
      <c r="Q198" s="1" t="str">
        <f>O198 &amp; " " &amp; P198</f>
        <v>11°18'53.9"N 106°47'14.2"E</v>
      </c>
    </row>
    <row r="199" spans="1:17" ht="15.75" customHeight="1" x14ac:dyDescent="0.2">
      <c r="A199" s="1">
        <v>598</v>
      </c>
      <c r="B199" s="1" t="s">
        <v>2166</v>
      </c>
      <c r="C199" s="1" t="s">
        <v>15</v>
      </c>
      <c r="D199" s="1" t="s">
        <v>16</v>
      </c>
      <c r="E199" s="1" t="s">
        <v>2161</v>
      </c>
      <c r="F199" s="1" t="s">
        <v>1564</v>
      </c>
      <c r="G199" s="1" t="s">
        <v>2167</v>
      </c>
      <c r="H199" s="1" t="s">
        <v>2168</v>
      </c>
      <c r="I199" s="1" t="s">
        <v>21</v>
      </c>
      <c r="J199" s="1" t="s">
        <v>22</v>
      </c>
      <c r="K199" s="2">
        <v>11.32730188</v>
      </c>
      <c r="L199" s="2">
        <v>106.26378145</v>
      </c>
      <c r="M199" s="1" t="s">
        <v>2169</v>
      </c>
      <c r="N199" s="1" t="s">
        <v>1564</v>
      </c>
      <c r="O199" s="1" t="str">
        <f>INT(K199)&amp;"°"&amp;INT(MOD(K199,1)*60)&amp;"'"&amp;
ROUND(MOD(MOD(K199,1)*60,1)*60,1)&amp;"""N"</f>
        <v>11°19'38.3"N</v>
      </c>
      <c r="P199" s="1" t="str">
        <f>INT(L199)&amp;"°"&amp;INT(MOD(L199,1)*60)&amp;"'"&amp;
ROUND(MOD(MOD(L199,1)*60,1)*60,1)&amp;"""E"</f>
        <v>106°15'49.6"E</v>
      </c>
      <c r="Q199" s="1" t="str">
        <f>O199 &amp; " " &amp; P199</f>
        <v>11°19'38.3"N 106°15'49.6"E</v>
      </c>
    </row>
    <row r="200" spans="1:17" ht="15.75" customHeight="1" x14ac:dyDescent="0.2">
      <c r="A200" s="1">
        <v>75</v>
      </c>
      <c r="B200" s="1" t="s">
        <v>304</v>
      </c>
      <c r="C200" s="1" t="s">
        <v>15</v>
      </c>
      <c r="D200" s="1" t="s">
        <v>16</v>
      </c>
      <c r="E200" s="1" t="s">
        <v>292</v>
      </c>
      <c r="F200" s="1" t="s">
        <v>293</v>
      </c>
      <c r="G200" s="1" t="s">
        <v>305</v>
      </c>
      <c r="H200" s="1" t="s">
        <v>306</v>
      </c>
      <c r="I200" s="1" t="s">
        <v>21</v>
      </c>
      <c r="J200" s="1" t="s">
        <v>22</v>
      </c>
      <c r="K200" s="2">
        <v>11.327437099999999</v>
      </c>
      <c r="L200" s="2">
        <v>106.45437919</v>
      </c>
      <c r="M200" s="1" t="s">
        <v>305</v>
      </c>
      <c r="N200" s="1" t="s">
        <v>73</v>
      </c>
      <c r="O200" s="1" t="str">
        <f>INT(K200)&amp;"°"&amp;INT(MOD(K200,1)*60)&amp;"'"&amp;
ROUND(MOD(MOD(K200,1)*60,1)*60,1)&amp;"""N"</f>
        <v>11°19'38.8"N</v>
      </c>
      <c r="P200" s="1" t="str">
        <f>INT(L200)&amp;"°"&amp;INT(MOD(L200,1)*60)&amp;"'"&amp;
ROUND(MOD(MOD(L200,1)*60,1)*60,1)&amp;"""E"</f>
        <v>106°27'15.8"E</v>
      </c>
      <c r="Q200" s="1" t="str">
        <f>O200 &amp; " " &amp; P200</f>
        <v>11°19'38.8"N 106°27'15.8"E</v>
      </c>
    </row>
    <row r="201" spans="1:17" ht="15.75" customHeight="1" x14ac:dyDescent="0.2">
      <c r="A201" s="1">
        <v>101</v>
      </c>
      <c r="B201" s="1" t="s">
        <v>396</v>
      </c>
      <c r="C201" s="1" t="s">
        <v>15</v>
      </c>
      <c r="D201" s="1" t="s">
        <v>16</v>
      </c>
      <c r="E201" s="1" t="s">
        <v>364</v>
      </c>
      <c r="F201" s="1" t="s">
        <v>365</v>
      </c>
      <c r="G201" s="1" t="s">
        <v>397</v>
      </c>
      <c r="H201" s="1" t="s">
        <v>397</v>
      </c>
      <c r="I201" s="1" t="s">
        <v>21</v>
      </c>
      <c r="J201" s="1" t="s">
        <v>22</v>
      </c>
      <c r="K201" s="2">
        <v>11.354155759999999</v>
      </c>
      <c r="L201" s="2">
        <v>108.67403760000001</v>
      </c>
      <c r="M201" s="1" t="s">
        <v>398</v>
      </c>
      <c r="N201" s="1" t="s">
        <v>369</v>
      </c>
      <c r="O201" s="1" t="str">
        <f>INT(K201)&amp;"°"&amp;INT(MOD(K201,1)*60)&amp;"'"&amp;
ROUND(MOD(MOD(K201,1)*60,1)*60,1)&amp;"""N"</f>
        <v>11°21'15"N</v>
      </c>
      <c r="P201" s="1" t="str">
        <f>INT(L201)&amp;"°"&amp;INT(MOD(L201,1)*60)&amp;"'"&amp;
ROUND(MOD(MOD(L201,1)*60,1)*60,1)&amp;"""E"</f>
        <v>108°40'26.5"E</v>
      </c>
      <c r="Q201" s="1" t="str">
        <f>O201 &amp; " " &amp; P201</f>
        <v>11°21'15"N 108°40'26.5"E</v>
      </c>
    </row>
    <row r="202" spans="1:17" ht="15.75" customHeight="1" x14ac:dyDescent="0.2">
      <c r="A202" s="1">
        <v>603</v>
      </c>
      <c r="B202" s="1" t="s">
        <v>2183</v>
      </c>
      <c r="C202" s="1" t="s">
        <v>15</v>
      </c>
      <c r="D202" s="1" t="s">
        <v>16</v>
      </c>
      <c r="E202" s="1" t="s">
        <v>2161</v>
      </c>
      <c r="F202" s="1" t="s">
        <v>1564</v>
      </c>
      <c r="G202" s="1" t="s">
        <v>1564</v>
      </c>
      <c r="H202" s="1" t="s">
        <v>2184</v>
      </c>
      <c r="I202" s="1" t="s">
        <v>27</v>
      </c>
      <c r="J202" s="1" t="s">
        <v>28</v>
      </c>
      <c r="K202" s="2">
        <v>11.368793350000001</v>
      </c>
      <c r="L202" s="2">
        <v>106.12667347999999</v>
      </c>
      <c r="M202" s="1" t="s">
        <v>2185</v>
      </c>
      <c r="N202" s="1" t="s">
        <v>1564</v>
      </c>
      <c r="O202" s="1" t="str">
        <f>INT(K202)&amp;"°"&amp;INT(MOD(K202,1)*60)&amp;"'"&amp;
ROUND(MOD(MOD(K202,1)*60,1)*60,1)&amp;"""N"</f>
        <v>11°22'7.7"N</v>
      </c>
      <c r="P202" s="1" t="str">
        <f>INT(L202)&amp;"°"&amp;INT(MOD(L202,1)*60)&amp;"'"&amp;
ROUND(MOD(MOD(L202,1)*60,1)*60,1)&amp;"""E"</f>
        <v>106°7'36"E</v>
      </c>
      <c r="Q202" s="1" t="str">
        <f>O202 &amp; " " &amp; P202</f>
        <v>11°22'7.7"N 106°7'36"E</v>
      </c>
    </row>
    <row r="203" spans="1:17" ht="15.75" customHeight="1" x14ac:dyDescent="0.2">
      <c r="A203" s="1">
        <v>179</v>
      </c>
      <c r="B203" s="1" t="s">
        <v>681</v>
      </c>
      <c r="C203" s="1" t="s">
        <v>15</v>
      </c>
      <c r="D203" s="1" t="s">
        <v>16</v>
      </c>
      <c r="E203" s="1" t="s">
        <v>660</v>
      </c>
      <c r="F203" s="1" t="s">
        <v>330</v>
      </c>
      <c r="G203" s="1" t="s">
        <v>682</v>
      </c>
      <c r="H203" s="1" t="s">
        <v>683</v>
      </c>
      <c r="I203" s="1" t="s">
        <v>21</v>
      </c>
      <c r="J203" s="1" t="s">
        <v>22</v>
      </c>
      <c r="K203" s="2">
        <v>11.39680261</v>
      </c>
      <c r="L203" s="2">
        <v>107.37884004</v>
      </c>
      <c r="M203" s="1" t="s">
        <v>684</v>
      </c>
      <c r="N203" s="1" t="s">
        <v>330</v>
      </c>
      <c r="O203" s="1" t="str">
        <f>INT(K203)&amp;"°"&amp;INT(MOD(K203,1)*60)&amp;"'"&amp;
ROUND(MOD(MOD(K203,1)*60,1)*60,1)&amp;"""N"</f>
        <v>11°23'48.5"N</v>
      </c>
      <c r="P203" s="1" t="str">
        <f>INT(L203)&amp;"°"&amp;INT(MOD(L203,1)*60)&amp;"'"&amp;
ROUND(MOD(MOD(L203,1)*60,1)*60,1)&amp;"""E"</f>
        <v>107°22'43.8"E</v>
      </c>
      <c r="Q203" s="1" t="str">
        <f>O203 &amp; " " &amp; P203</f>
        <v>11°23'48.5"N 107°22'43.8"E</v>
      </c>
    </row>
    <row r="204" spans="1:17" ht="15.75" customHeight="1" x14ac:dyDescent="0.2">
      <c r="A204" s="1">
        <v>397</v>
      </c>
      <c r="B204" s="1" t="s">
        <v>1452</v>
      </c>
      <c r="C204" s="1" t="s">
        <v>15</v>
      </c>
      <c r="D204" s="1" t="s">
        <v>16</v>
      </c>
      <c r="E204" s="1" t="s">
        <v>1442</v>
      </c>
      <c r="F204" s="1" t="s">
        <v>369</v>
      </c>
      <c r="G204" s="1" t="s">
        <v>1453</v>
      </c>
      <c r="H204" s="1" t="s">
        <v>1454</v>
      </c>
      <c r="I204" s="1" t="s">
        <v>21</v>
      </c>
      <c r="J204" s="1" t="s">
        <v>22</v>
      </c>
      <c r="K204" s="2">
        <v>11.43029636</v>
      </c>
      <c r="L204" s="2">
        <v>107.63534898</v>
      </c>
      <c r="M204" s="1" t="s">
        <v>1455</v>
      </c>
      <c r="N204" s="1" t="s">
        <v>369</v>
      </c>
      <c r="O204" s="1" t="str">
        <f>INT(K204)&amp;"°"&amp;INT(MOD(K204,1)*60)&amp;"'"&amp;
ROUND(MOD(MOD(K204,1)*60,1)*60,1)&amp;"""N"</f>
        <v>11°25'49.1"N</v>
      </c>
      <c r="P204" s="1" t="str">
        <f>INT(L204)&amp;"°"&amp;INT(MOD(L204,1)*60)&amp;"'"&amp;
ROUND(MOD(MOD(L204,1)*60,1)*60,1)&amp;"""E"</f>
        <v>107°38'7.3"E</v>
      </c>
      <c r="Q204" s="1" t="str">
        <f>O204 &amp; " " &amp; P204</f>
        <v>11°25'49.1"N 107°38'7.3"E</v>
      </c>
    </row>
    <row r="205" spans="1:17" ht="15.75" customHeight="1" x14ac:dyDescent="0.2">
      <c r="A205" s="1">
        <v>486</v>
      </c>
      <c r="B205" s="1" t="s">
        <v>1766</v>
      </c>
      <c r="C205" s="1" t="s">
        <v>15</v>
      </c>
      <c r="D205" s="1" t="s">
        <v>16</v>
      </c>
      <c r="E205" s="1" t="s">
        <v>1744</v>
      </c>
      <c r="F205" s="1" t="s">
        <v>1745</v>
      </c>
      <c r="G205" s="1" t="s">
        <v>1767</v>
      </c>
      <c r="H205" s="1" t="s">
        <v>1768</v>
      </c>
      <c r="I205" s="1" t="s">
        <v>21</v>
      </c>
      <c r="J205" s="1" t="s">
        <v>22</v>
      </c>
      <c r="K205" s="2">
        <v>11.44192458</v>
      </c>
      <c r="L205" s="2">
        <v>108.86174017</v>
      </c>
      <c r="M205" s="1" t="s">
        <v>1767</v>
      </c>
      <c r="N205" s="1" t="s">
        <v>1297</v>
      </c>
      <c r="O205" s="1" t="str">
        <f>INT(K205)&amp;"°"&amp;INT(MOD(K205,1)*60)&amp;"'"&amp;
ROUND(MOD(MOD(K205,1)*60,1)*60,1)&amp;"""N"</f>
        <v>11°26'30.9"N</v>
      </c>
      <c r="P205" s="1" t="str">
        <f>INT(L205)&amp;"°"&amp;INT(MOD(L205,1)*60)&amp;"'"&amp;
ROUND(MOD(MOD(L205,1)*60,1)*60,1)&amp;"""E"</f>
        <v>108°51'42.3"E</v>
      </c>
      <c r="Q205" s="1" t="str">
        <f>O205 &amp; " " &amp; P205</f>
        <v>11°26'30.9"N 108°51'42.3"E</v>
      </c>
    </row>
    <row r="206" spans="1:17" ht="15.75" customHeight="1" x14ac:dyDescent="0.2">
      <c r="A206" s="1">
        <v>85</v>
      </c>
      <c r="B206" s="1" t="s">
        <v>342</v>
      </c>
      <c r="C206" s="1" t="s">
        <v>15</v>
      </c>
      <c r="D206" s="1" t="s">
        <v>16</v>
      </c>
      <c r="E206" s="1" t="s">
        <v>325</v>
      </c>
      <c r="F206" s="1" t="s">
        <v>326</v>
      </c>
      <c r="G206" s="1" t="s">
        <v>343</v>
      </c>
      <c r="H206" s="1" t="s">
        <v>344</v>
      </c>
      <c r="I206" s="1" t="s">
        <v>21</v>
      </c>
      <c r="J206" s="1" t="s">
        <v>22</v>
      </c>
      <c r="K206" s="2">
        <v>11.46950994</v>
      </c>
      <c r="L206" s="2">
        <v>106.66537037000001</v>
      </c>
      <c r="M206" s="1" t="s">
        <v>343</v>
      </c>
      <c r="N206" s="1" t="s">
        <v>330</v>
      </c>
      <c r="O206" s="1" t="str">
        <f>INT(K206)&amp;"°"&amp;INT(MOD(K206,1)*60)&amp;"'"&amp;
ROUND(MOD(MOD(K206,1)*60,1)*60,1)&amp;"""N"</f>
        <v>11°28'10.2"N</v>
      </c>
      <c r="P206" s="1" t="str">
        <f>INT(L206)&amp;"°"&amp;INT(MOD(L206,1)*60)&amp;"'"&amp;
ROUND(MOD(MOD(L206,1)*60,1)*60,1)&amp;"""E"</f>
        <v>106°39'55.3"E</v>
      </c>
      <c r="Q206" s="1" t="str">
        <f>O206 &amp; " " &amp; P206</f>
        <v>11°28'10.2"N 106°39'55.3"E</v>
      </c>
    </row>
    <row r="207" spans="1:17" ht="15.75" customHeight="1" x14ac:dyDescent="0.2">
      <c r="A207" s="1">
        <v>86</v>
      </c>
      <c r="B207" s="1" t="s">
        <v>345</v>
      </c>
      <c r="C207" s="1" t="s">
        <v>15</v>
      </c>
      <c r="D207" s="1" t="s">
        <v>16</v>
      </c>
      <c r="E207" s="1" t="s">
        <v>325</v>
      </c>
      <c r="F207" s="1" t="s">
        <v>326</v>
      </c>
      <c r="G207" s="1" t="s">
        <v>346</v>
      </c>
      <c r="H207" s="1" t="s">
        <v>347</v>
      </c>
      <c r="I207" s="1" t="s">
        <v>21</v>
      </c>
      <c r="J207" s="1" t="s">
        <v>22</v>
      </c>
      <c r="K207" s="2">
        <v>11.497286819999999</v>
      </c>
      <c r="L207" s="2">
        <v>106.95524033</v>
      </c>
      <c r="M207" s="1" t="s">
        <v>348</v>
      </c>
      <c r="N207" s="1" t="s">
        <v>330</v>
      </c>
      <c r="O207" s="1" t="str">
        <f>INT(K207)&amp;"°"&amp;INT(MOD(K207,1)*60)&amp;"'"&amp;
ROUND(MOD(MOD(K207,1)*60,1)*60,1)&amp;"""N"</f>
        <v>11°29'50.2"N</v>
      </c>
      <c r="P207" s="1" t="str">
        <f>INT(L207)&amp;"°"&amp;INT(MOD(L207,1)*60)&amp;"'"&amp;
ROUND(MOD(MOD(L207,1)*60,1)*60,1)&amp;"""E"</f>
        <v>106°57'18.9"E</v>
      </c>
      <c r="Q207" s="1" t="str">
        <f>O207 &amp; " " &amp; P207</f>
        <v>11°29'50.2"N 106°57'18.9"E</v>
      </c>
    </row>
    <row r="208" spans="1:17" ht="15.75" customHeight="1" x14ac:dyDescent="0.2">
      <c r="A208" s="1">
        <v>401</v>
      </c>
      <c r="B208" s="1" t="s">
        <v>1468</v>
      </c>
      <c r="C208" s="1" t="s">
        <v>15</v>
      </c>
      <c r="D208" s="1" t="s">
        <v>16</v>
      </c>
      <c r="E208" s="1" t="s">
        <v>1442</v>
      </c>
      <c r="F208" s="1" t="s">
        <v>369</v>
      </c>
      <c r="G208" s="1" t="s">
        <v>1469</v>
      </c>
      <c r="H208" s="1" t="s">
        <v>1469</v>
      </c>
      <c r="I208" s="1" t="s">
        <v>21</v>
      </c>
      <c r="J208" s="1" t="s">
        <v>22</v>
      </c>
      <c r="K208" s="2">
        <v>11.50231125</v>
      </c>
      <c r="L208" s="2">
        <v>108.07778964000001</v>
      </c>
      <c r="M208" s="1" t="s">
        <v>1469</v>
      </c>
      <c r="N208" s="1" t="s">
        <v>369</v>
      </c>
      <c r="O208" s="1" t="str">
        <f>INT(K208)&amp;"°"&amp;INT(MOD(K208,1)*60)&amp;"'"&amp;
ROUND(MOD(MOD(K208,1)*60,1)*60,1)&amp;"""N"</f>
        <v>11°30'8.3"N</v>
      </c>
      <c r="P208" s="1" t="str">
        <f>INT(L208)&amp;"°"&amp;INT(MOD(L208,1)*60)&amp;"'"&amp;
ROUND(MOD(MOD(L208,1)*60,1)*60,1)&amp;"""E"</f>
        <v>108°4'40"E</v>
      </c>
      <c r="Q208" s="1" t="str">
        <f>O208 &amp; " " &amp; P208</f>
        <v>11°30'8.3"N 108°4'40"E</v>
      </c>
    </row>
    <row r="209" spans="1:17" ht="15.75" customHeight="1" x14ac:dyDescent="0.2">
      <c r="A209" s="1">
        <v>87</v>
      </c>
      <c r="B209" s="1" t="s">
        <v>349</v>
      </c>
      <c r="C209" s="1" t="s">
        <v>15</v>
      </c>
      <c r="D209" s="1" t="s">
        <v>16</v>
      </c>
      <c r="E209" s="1" t="s">
        <v>325</v>
      </c>
      <c r="F209" s="1" t="s">
        <v>326</v>
      </c>
      <c r="G209" s="1" t="s">
        <v>350</v>
      </c>
      <c r="H209" s="1" t="s">
        <v>351</v>
      </c>
      <c r="I209" s="1" t="s">
        <v>53</v>
      </c>
      <c r="J209" s="1" t="s">
        <v>54</v>
      </c>
      <c r="K209" s="2">
        <v>11.519733860000001</v>
      </c>
      <c r="L209" s="2">
        <v>106.84711829</v>
      </c>
      <c r="M209" s="1" t="s">
        <v>350</v>
      </c>
      <c r="N209" s="1" t="s">
        <v>330</v>
      </c>
      <c r="O209" s="1" t="str">
        <f>INT(K209)&amp;"°"&amp;INT(MOD(K209,1)*60)&amp;"'"&amp;
ROUND(MOD(MOD(K209,1)*60,1)*60,1)&amp;"""N"</f>
        <v>11°31'11"N</v>
      </c>
      <c r="P209" s="1" t="str">
        <f>INT(L209)&amp;"°"&amp;INT(MOD(L209,1)*60)&amp;"'"&amp;
ROUND(MOD(MOD(L209,1)*60,1)*60,1)&amp;"""E"</f>
        <v>106°50'49.6"E</v>
      </c>
      <c r="Q209" s="1" t="str">
        <f>O209 &amp; " " &amp; P209</f>
        <v>11°31'11"N 106°50'49.6"E</v>
      </c>
    </row>
    <row r="210" spans="1:17" ht="15.75" customHeight="1" x14ac:dyDescent="0.2">
      <c r="A210" s="1">
        <v>395</v>
      </c>
      <c r="B210" s="1" t="s">
        <v>1444</v>
      </c>
      <c r="C210" s="1" t="s">
        <v>15</v>
      </c>
      <c r="D210" s="1" t="s">
        <v>16</v>
      </c>
      <c r="E210" s="1" t="s">
        <v>1442</v>
      </c>
      <c r="F210" s="1" t="s">
        <v>369</v>
      </c>
      <c r="G210" s="1" t="s">
        <v>1445</v>
      </c>
      <c r="H210" s="1" t="s">
        <v>1446</v>
      </c>
      <c r="I210" s="1" t="s">
        <v>27</v>
      </c>
      <c r="J210" s="1" t="s">
        <v>28</v>
      </c>
      <c r="K210" s="2">
        <v>11.53556992</v>
      </c>
      <c r="L210" s="2">
        <v>107.79143607</v>
      </c>
      <c r="M210" s="1" t="s">
        <v>1447</v>
      </c>
      <c r="N210" s="1" t="s">
        <v>369</v>
      </c>
      <c r="O210" s="1" t="str">
        <f>INT(K210)&amp;"°"&amp;INT(MOD(K210,1)*60)&amp;"'"&amp;
ROUND(MOD(MOD(K210,1)*60,1)*60,1)&amp;"""N"</f>
        <v>11°32'8.1"N</v>
      </c>
      <c r="P210" s="1" t="str">
        <f>INT(L210)&amp;"°"&amp;INT(MOD(L210,1)*60)&amp;"'"&amp;
ROUND(MOD(MOD(L210,1)*60,1)*60,1)&amp;"""E"</f>
        <v>107°47'29.2"E</v>
      </c>
      <c r="Q210" s="1" t="str">
        <f>O210 &amp; " " &amp; P210</f>
        <v>11°32'8.1"N 107°47'29.2"E</v>
      </c>
    </row>
    <row r="211" spans="1:17" ht="15.75" customHeight="1" x14ac:dyDescent="0.2">
      <c r="A211" s="1">
        <v>482</v>
      </c>
      <c r="B211" s="1" t="s">
        <v>1751</v>
      </c>
      <c r="C211" s="1" t="s">
        <v>15</v>
      </c>
      <c r="D211" s="1" t="s">
        <v>16</v>
      </c>
      <c r="E211" s="1" t="s">
        <v>1744</v>
      </c>
      <c r="F211" s="1" t="s">
        <v>1745</v>
      </c>
      <c r="G211" s="1" t="s">
        <v>1752</v>
      </c>
      <c r="H211" s="1" t="s">
        <v>1753</v>
      </c>
      <c r="I211" s="1" t="s">
        <v>21</v>
      </c>
      <c r="J211" s="1" t="s">
        <v>22</v>
      </c>
      <c r="K211" s="2">
        <v>11.56528233</v>
      </c>
      <c r="L211" s="2">
        <v>108.87459563</v>
      </c>
      <c r="M211" s="1" t="s">
        <v>1754</v>
      </c>
      <c r="N211" s="1" t="s">
        <v>1297</v>
      </c>
      <c r="O211" s="1" t="str">
        <f>INT(K211)&amp;"°"&amp;INT(MOD(K211,1)*60)&amp;"'"&amp;
ROUND(MOD(MOD(K211,1)*60,1)*60,1)&amp;"""N"</f>
        <v>11°33'55"N</v>
      </c>
      <c r="P211" s="1" t="str">
        <f>INT(L211)&amp;"°"&amp;INT(MOD(L211,1)*60)&amp;"'"&amp;
ROUND(MOD(MOD(L211,1)*60,1)*60,1)&amp;"""E"</f>
        <v>108°52'28.5"E</v>
      </c>
      <c r="Q211" s="1" t="str">
        <f>O211 &amp; " " &amp; P211</f>
        <v>11°33'55"N 108°52'28.5"E</v>
      </c>
    </row>
    <row r="212" spans="1:17" ht="15.75" customHeight="1" x14ac:dyDescent="0.2">
      <c r="A212" s="1">
        <v>602</v>
      </c>
      <c r="B212" s="1" t="s">
        <v>2181</v>
      </c>
      <c r="C212" s="1" t="s">
        <v>15</v>
      </c>
      <c r="D212" s="1" t="s">
        <v>16</v>
      </c>
      <c r="E212" s="1" t="s">
        <v>2161</v>
      </c>
      <c r="F212" s="1" t="s">
        <v>1564</v>
      </c>
      <c r="G212" s="1" t="s">
        <v>51</v>
      </c>
      <c r="H212" s="1" t="s">
        <v>52</v>
      </c>
      <c r="I212" s="1" t="s">
        <v>21</v>
      </c>
      <c r="J212" s="1" t="s">
        <v>22</v>
      </c>
      <c r="K212" s="2">
        <v>11.577617849999999</v>
      </c>
      <c r="L212" s="2">
        <v>106.27296260999999</v>
      </c>
      <c r="M212" s="1" t="s">
        <v>2182</v>
      </c>
      <c r="N212" s="1" t="s">
        <v>1564</v>
      </c>
      <c r="O212" s="1" t="str">
        <f>INT(K212)&amp;"°"&amp;INT(MOD(K212,1)*60)&amp;"'"&amp;
ROUND(MOD(MOD(K212,1)*60,1)*60,1)&amp;"""N"</f>
        <v>11°34'39.4"N</v>
      </c>
      <c r="P212" s="1" t="str">
        <f>INT(L212)&amp;"°"&amp;INT(MOD(L212,1)*60)&amp;"'"&amp;
ROUND(MOD(MOD(L212,1)*60,1)*60,1)&amp;"""E"</f>
        <v>106°16'22.7"E</v>
      </c>
      <c r="Q212" s="1" t="str">
        <f>O212 &amp; " " &amp; P212</f>
        <v>11°34'39.4"N 106°16'22.7"E</v>
      </c>
    </row>
    <row r="213" spans="1:17" ht="15.75" customHeight="1" x14ac:dyDescent="0.2">
      <c r="A213" s="1">
        <v>601</v>
      </c>
      <c r="B213" s="1" t="s">
        <v>2178</v>
      </c>
      <c r="C213" s="1" t="s">
        <v>15</v>
      </c>
      <c r="D213" s="1" t="s">
        <v>16</v>
      </c>
      <c r="E213" s="1" t="s">
        <v>2161</v>
      </c>
      <c r="F213" s="1" t="s">
        <v>1564</v>
      </c>
      <c r="G213" s="1" t="s">
        <v>2179</v>
      </c>
      <c r="H213" s="1" t="s">
        <v>2180</v>
      </c>
      <c r="I213" s="1" t="s">
        <v>21</v>
      </c>
      <c r="J213" s="1" t="s">
        <v>22</v>
      </c>
      <c r="K213" s="2">
        <v>11.57802414</v>
      </c>
      <c r="L213" s="2">
        <v>105.99968174999999</v>
      </c>
      <c r="M213" s="1" t="s">
        <v>2179</v>
      </c>
      <c r="N213" s="1" t="s">
        <v>1564</v>
      </c>
      <c r="O213" s="1" t="str">
        <f>INT(K213)&amp;"°"&amp;INT(MOD(K213,1)*60)&amp;"'"&amp;
ROUND(MOD(MOD(K213,1)*60,1)*60,1)&amp;"""N"</f>
        <v>11°34'40.9"N</v>
      </c>
      <c r="P213" s="1" t="str">
        <f>INT(L213)&amp;"°"&amp;INT(MOD(L213,1)*60)&amp;"'"&amp;
ROUND(MOD(MOD(L213,1)*60,1)*60,1)&amp;"""E"</f>
        <v>105°59'58.9"E</v>
      </c>
      <c r="Q213" s="1" t="str">
        <f>O213 &amp; " " &amp; P213</f>
        <v>11°34'40.9"N 105°59'58.9"E</v>
      </c>
    </row>
    <row r="214" spans="1:17" ht="15.75" customHeight="1" x14ac:dyDescent="0.2">
      <c r="A214" s="1">
        <v>399</v>
      </c>
      <c r="B214" s="1" t="s">
        <v>1460</v>
      </c>
      <c r="C214" s="1" t="s">
        <v>15</v>
      </c>
      <c r="D214" s="1" t="s">
        <v>16</v>
      </c>
      <c r="E214" s="1" t="s">
        <v>1442</v>
      </c>
      <c r="F214" s="1" t="s">
        <v>369</v>
      </c>
      <c r="G214" s="1" t="s">
        <v>1461</v>
      </c>
      <c r="H214" s="1" t="s">
        <v>1462</v>
      </c>
      <c r="I214" s="1" t="s">
        <v>21</v>
      </c>
      <c r="J214" s="1" t="s">
        <v>22</v>
      </c>
      <c r="K214" s="2">
        <v>11.580564770000001</v>
      </c>
      <c r="L214" s="2">
        <v>107.52907978</v>
      </c>
      <c r="M214" s="1" t="s">
        <v>1463</v>
      </c>
      <c r="N214" s="1" t="s">
        <v>369</v>
      </c>
      <c r="O214" s="1" t="str">
        <f>INT(K214)&amp;"°"&amp;INT(MOD(K214,1)*60)&amp;"'"&amp;
ROUND(MOD(MOD(K214,1)*60,1)*60,1)&amp;"""N"</f>
        <v>11°34'50"N</v>
      </c>
      <c r="P214" s="1" t="str">
        <f>INT(L214)&amp;"°"&amp;INT(MOD(L214,1)*60)&amp;"'"&amp;
ROUND(MOD(MOD(L214,1)*60,1)*60,1)&amp;"""E"</f>
        <v>107°31'44.7"E</v>
      </c>
      <c r="Q214" s="1" t="str">
        <f>O214 &amp; " " &amp; P214</f>
        <v>11°34'50"N 107°31'44.7"E</v>
      </c>
    </row>
    <row r="215" spans="1:17" ht="15.75" customHeight="1" x14ac:dyDescent="0.2">
      <c r="A215" s="1">
        <v>484</v>
      </c>
      <c r="B215" s="1" t="s">
        <v>1759</v>
      </c>
      <c r="C215" s="1" t="s">
        <v>15</v>
      </c>
      <c r="D215" s="1" t="s">
        <v>16</v>
      </c>
      <c r="E215" s="1" t="s">
        <v>1744</v>
      </c>
      <c r="F215" s="1" t="s">
        <v>1745</v>
      </c>
      <c r="G215" s="1" t="s">
        <v>1760</v>
      </c>
      <c r="H215" s="1" t="s">
        <v>1761</v>
      </c>
      <c r="I215" s="1" t="s">
        <v>27</v>
      </c>
      <c r="J215" s="1" t="s">
        <v>28</v>
      </c>
      <c r="K215" s="2">
        <v>11.599679950000001</v>
      </c>
      <c r="L215" s="2">
        <v>108.97644921</v>
      </c>
      <c r="M215" s="1" t="s">
        <v>1762</v>
      </c>
      <c r="N215" s="1" t="s">
        <v>1297</v>
      </c>
      <c r="O215" s="1" t="str">
        <f>INT(K215)&amp;"°"&amp;INT(MOD(K215,1)*60)&amp;"'"&amp;
ROUND(MOD(MOD(K215,1)*60,1)*60,1)&amp;"""N"</f>
        <v>11°35'58.8"N</v>
      </c>
      <c r="P215" s="1" t="str">
        <f>INT(L215)&amp;"°"&amp;INT(MOD(L215,1)*60)&amp;"'"&amp;
ROUND(MOD(MOD(L215,1)*60,1)*60,1)&amp;"""E"</f>
        <v>108°58'35.2"E</v>
      </c>
      <c r="Q215" s="1" t="str">
        <f>O215 &amp; " " &amp; P215</f>
        <v>11°35'58.8"N 108°58'35.2"E</v>
      </c>
    </row>
    <row r="216" spans="1:17" ht="15.75" customHeight="1" x14ac:dyDescent="0.2">
      <c r="A216" s="1">
        <v>88</v>
      </c>
      <c r="B216" s="1" t="s">
        <v>352</v>
      </c>
      <c r="C216" s="1" t="s">
        <v>15</v>
      </c>
      <c r="D216" s="1" t="s">
        <v>16</v>
      </c>
      <c r="E216" s="1" t="s">
        <v>325</v>
      </c>
      <c r="F216" s="1" t="s">
        <v>326</v>
      </c>
      <c r="G216" s="1" t="s">
        <v>353</v>
      </c>
      <c r="H216" s="1" t="s">
        <v>354</v>
      </c>
      <c r="I216" s="1" t="s">
        <v>21</v>
      </c>
      <c r="J216" s="1" t="s">
        <v>22</v>
      </c>
      <c r="K216" s="2">
        <v>11.61883338</v>
      </c>
      <c r="L216" s="2">
        <v>106.61245003000001</v>
      </c>
      <c r="M216" s="1" t="s">
        <v>327</v>
      </c>
      <c r="N216" s="1" t="s">
        <v>330</v>
      </c>
      <c r="O216" s="1" t="str">
        <f>INT(K216)&amp;"°"&amp;INT(MOD(K216,1)*60)&amp;"'"&amp;
ROUND(MOD(MOD(K216,1)*60,1)*60,1)&amp;"""N"</f>
        <v>11°37'7.8"N</v>
      </c>
      <c r="P216" s="1" t="str">
        <f>INT(L216)&amp;"°"&amp;INT(MOD(L216,1)*60)&amp;"'"&amp;
ROUND(MOD(MOD(L216,1)*60,1)*60,1)&amp;"""E"</f>
        <v>106°36'44.8"E</v>
      </c>
      <c r="Q216" s="1" t="str">
        <f>O216 &amp; " " &amp; P216</f>
        <v>11°37'7.8"N 106°36'44.8"E</v>
      </c>
    </row>
    <row r="217" spans="1:17" ht="15.75" customHeight="1" x14ac:dyDescent="0.2">
      <c r="A217" s="1">
        <v>403</v>
      </c>
      <c r="B217" s="1" t="s">
        <v>1474</v>
      </c>
      <c r="C217" s="1" t="s">
        <v>15</v>
      </c>
      <c r="D217" s="1" t="s">
        <v>16</v>
      </c>
      <c r="E217" s="1" t="s">
        <v>1442</v>
      </c>
      <c r="F217" s="1" t="s">
        <v>369</v>
      </c>
      <c r="G217" s="1" t="s">
        <v>1475</v>
      </c>
      <c r="H217" s="1" t="s">
        <v>1476</v>
      </c>
      <c r="I217" s="1" t="s">
        <v>21</v>
      </c>
      <c r="J217" s="1" t="s">
        <v>22</v>
      </c>
      <c r="K217" s="2">
        <v>11.651496010000001</v>
      </c>
      <c r="L217" s="2">
        <v>108.38625359</v>
      </c>
      <c r="M217" s="1" t="s">
        <v>1475</v>
      </c>
      <c r="N217" s="1" t="s">
        <v>369</v>
      </c>
      <c r="O217" s="1" t="str">
        <f>INT(K217)&amp;"°"&amp;INT(MOD(K217,1)*60)&amp;"'"&amp;
ROUND(MOD(MOD(K217,1)*60,1)*60,1)&amp;"""N"</f>
        <v>11°39'5.4"N</v>
      </c>
      <c r="P217" s="1" t="str">
        <f>INT(L217)&amp;"°"&amp;INT(MOD(L217,1)*60)&amp;"'"&amp;
ROUND(MOD(MOD(L217,1)*60,1)*60,1)&amp;"""E"</f>
        <v>108°23'10.5"E</v>
      </c>
      <c r="Q217" s="1" t="str">
        <f>O217 &amp; " " &amp; P217</f>
        <v>11°39'5.4"N 108°23'10.5"E</v>
      </c>
    </row>
    <row r="218" spans="1:17" ht="15.75" customHeight="1" x14ac:dyDescent="0.2">
      <c r="A218" s="1">
        <v>481</v>
      </c>
      <c r="B218" s="1" t="s">
        <v>1748</v>
      </c>
      <c r="C218" s="1" t="s">
        <v>15</v>
      </c>
      <c r="D218" s="1" t="s">
        <v>16</v>
      </c>
      <c r="E218" s="1" t="s">
        <v>1744</v>
      </c>
      <c r="F218" s="1" t="s">
        <v>1745</v>
      </c>
      <c r="G218" s="1" t="s">
        <v>1749</v>
      </c>
      <c r="H218" s="1" t="s">
        <v>1750</v>
      </c>
      <c r="I218" s="1" t="s">
        <v>21</v>
      </c>
      <c r="J218" s="1" t="s">
        <v>22</v>
      </c>
      <c r="K218" s="2">
        <v>11.664996589999999</v>
      </c>
      <c r="L218" s="2">
        <v>109.10682585000001</v>
      </c>
      <c r="M218" s="1" t="s">
        <v>1749</v>
      </c>
      <c r="N218" s="1" t="s">
        <v>1297</v>
      </c>
      <c r="O218" s="1" t="str">
        <f>INT(K218)&amp;"°"&amp;INT(MOD(K218,1)*60)&amp;"'"&amp;
ROUND(MOD(MOD(K218,1)*60,1)*60,1)&amp;"""N"</f>
        <v>11°39'54"N</v>
      </c>
      <c r="P218" s="1" t="str">
        <f>INT(L218)&amp;"°"&amp;INT(MOD(L218,1)*60)&amp;"'"&amp;
ROUND(MOD(MOD(L218,1)*60,1)*60,1)&amp;"""E"</f>
        <v>109°6'24.6"E</v>
      </c>
      <c r="Q218" s="1" t="str">
        <f>O218 &amp; " " &amp; P218</f>
        <v>11°39'54"N 109°6'24.6"E</v>
      </c>
    </row>
    <row r="219" spans="1:17" ht="15.75" customHeight="1" x14ac:dyDescent="0.2">
      <c r="A219" s="1">
        <v>396</v>
      </c>
      <c r="B219" s="1" t="s">
        <v>1448</v>
      </c>
      <c r="C219" s="1" t="s">
        <v>15</v>
      </c>
      <c r="D219" s="1" t="s">
        <v>16</v>
      </c>
      <c r="E219" s="1" t="s">
        <v>1442</v>
      </c>
      <c r="F219" s="1" t="s">
        <v>369</v>
      </c>
      <c r="G219" s="1" t="s">
        <v>1449</v>
      </c>
      <c r="H219" s="1" t="s">
        <v>1450</v>
      </c>
      <c r="I219" s="1" t="s">
        <v>21</v>
      </c>
      <c r="J219" s="1" t="s">
        <v>22</v>
      </c>
      <c r="K219" s="2">
        <v>11.669835259999999</v>
      </c>
      <c r="L219" s="2">
        <v>107.38072021000001</v>
      </c>
      <c r="M219" s="1" t="s">
        <v>1451</v>
      </c>
      <c r="N219" s="1" t="s">
        <v>369</v>
      </c>
      <c r="O219" s="1" t="str">
        <f>INT(K219)&amp;"°"&amp;INT(MOD(K219,1)*60)&amp;"'"&amp;
ROUND(MOD(MOD(K219,1)*60,1)*60,1)&amp;"""N"</f>
        <v>11°40'11.4"N</v>
      </c>
      <c r="P219" s="1" t="str">
        <f>INT(L219)&amp;"°"&amp;INT(MOD(L219,1)*60)&amp;"'"&amp;
ROUND(MOD(MOD(L219,1)*60,1)*60,1)&amp;"""E"</f>
        <v>107°22'50.6"E</v>
      </c>
      <c r="Q219" s="1" t="str">
        <f>O219 &amp; " " &amp; P219</f>
        <v>11°40'11.4"N 107°22'50.6"E</v>
      </c>
    </row>
    <row r="220" spans="1:17" ht="15.75" customHeight="1" x14ac:dyDescent="0.2">
      <c r="A220" s="1">
        <v>81</v>
      </c>
      <c r="B220" s="1" t="s">
        <v>324</v>
      </c>
      <c r="C220" s="1" t="s">
        <v>15</v>
      </c>
      <c r="D220" s="1" t="s">
        <v>16</v>
      </c>
      <c r="E220" s="1" t="s">
        <v>325</v>
      </c>
      <c r="F220" s="1" t="s">
        <v>326</v>
      </c>
      <c r="G220" s="1" t="s">
        <v>327</v>
      </c>
      <c r="H220" s="1" t="s">
        <v>328</v>
      </c>
      <c r="I220" s="1" t="s">
        <v>53</v>
      </c>
      <c r="J220" s="1" t="s">
        <v>54</v>
      </c>
      <c r="K220" s="2">
        <v>11.683623649999999</v>
      </c>
      <c r="L220" s="2">
        <v>106.58542377000001</v>
      </c>
      <c r="M220" s="1" t="s">
        <v>329</v>
      </c>
      <c r="N220" s="1" t="s">
        <v>330</v>
      </c>
      <c r="O220" s="1" t="str">
        <f>INT(K220)&amp;"°"&amp;INT(MOD(K220,1)*60)&amp;"'"&amp;
ROUND(MOD(MOD(K220,1)*60,1)*60,1)&amp;"""N"</f>
        <v>11°41'1"N</v>
      </c>
      <c r="P220" s="1" t="str">
        <f>INT(L220)&amp;"°"&amp;INT(MOD(L220,1)*60)&amp;"'"&amp;
ROUND(MOD(MOD(L220,1)*60,1)*60,1)&amp;"""E"</f>
        <v>106°35'7.5"E</v>
      </c>
      <c r="Q220" s="1" t="str">
        <f>O220 &amp; " " &amp; P220</f>
        <v>11°41'1"N 106°35'7.5"E</v>
      </c>
    </row>
    <row r="221" spans="1:17" ht="15.75" customHeight="1" x14ac:dyDescent="0.2">
      <c r="A221" s="1">
        <v>394</v>
      </c>
      <c r="B221" s="1" t="s">
        <v>1441</v>
      </c>
      <c r="C221" s="1" t="s">
        <v>15</v>
      </c>
      <c r="D221" s="1" t="s">
        <v>16</v>
      </c>
      <c r="E221" s="1" t="s">
        <v>1442</v>
      </c>
      <c r="F221" s="1" t="s">
        <v>369</v>
      </c>
      <c r="G221" s="1" t="s">
        <v>467</v>
      </c>
      <c r="H221" s="1" t="s">
        <v>468</v>
      </c>
      <c r="I221" s="1" t="s">
        <v>21</v>
      </c>
      <c r="J221" s="1" t="s">
        <v>22</v>
      </c>
      <c r="K221" s="2">
        <v>11.68648237</v>
      </c>
      <c r="L221" s="2">
        <v>107.75939217</v>
      </c>
      <c r="M221" s="1" t="s">
        <v>1443</v>
      </c>
      <c r="N221" s="1" t="s">
        <v>369</v>
      </c>
      <c r="O221" s="1" t="str">
        <f>INT(K221)&amp;"°"&amp;INT(MOD(K221,1)*60)&amp;"'"&amp;
ROUND(MOD(MOD(K221,1)*60,1)*60,1)&amp;"""N"</f>
        <v>11°41'11.3"N</v>
      </c>
      <c r="P221" s="1" t="str">
        <f>INT(L221)&amp;"°"&amp;INT(MOD(L221,1)*60)&amp;"'"&amp;
ROUND(MOD(MOD(L221,1)*60,1)*60,1)&amp;"""E"</f>
        <v>107°45'33.8"E</v>
      </c>
      <c r="Q221" s="1" t="str">
        <f>O221 &amp; " " &amp; P221</f>
        <v>11°41'11.3"N 107°45'33.8"E</v>
      </c>
    </row>
    <row r="222" spans="1:17" ht="15.75" customHeight="1" x14ac:dyDescent="0.2">
      <c r="A222" s="1">
        <v>483</v>
      </c>
      <c r="B222" s="1" t="s">
        <v>1755</v>
      </c>
      <c r="C222" s="1" t="s">
        <v>15</v>
      </c>
      <c r="D222" s="1" t="s">
        <v>16</v>
      </c>
      <c r="E222" s="1" t="s">
        <v>1744</v>
      </c>
      <c r="F222" s="1" t="s">
        <v>1745</v>
      </c>
      <c r="G222" s="1" t="s">
        <v>1756</v>
      </c>
      <c r="H222" s="1" t="s">
        <v>1757</v>
      </c>
      <c r="I222" s="1" t="s">
        <v>21</v>
      </c>
      <c r="J222" s="1" t="s">
        <v>22</v>
      </c>
      <c r="K222" s="2">
        <v>11.703264969999999</v>
      </c>
      <c r="L222" s="2">
        <v>108.72963701</v>
      </c>
      <c r="M222" s="1" t="s">
        <v>1758</v>
      </c>
      <c r="N222" s="1" t="s">
        <v>1297</v>
      </c>
      <c r="O222" s="1" t="str">
        <f>INT(K222)&amp;"°"&amp;INT(MOD(K222,1)*60)&amp;"'"&amp;
ROUND(MOD(MOD(K222,1)*60,1)*60,1)&amp;"""N"</f>
        <v>11°42'11.8"N</v>
      </c>
      <c r="P222" s="1" t="str">
        <f>INT(L222)&amp;"°"&amp;INT(MOD(L222,1)*60)&amp;"'"&amp;
ROUND(MOD(MOD(L222,1)*60,1)*60,1)&amp;"""E"</f>
        <v>108°43'46.7"E</v>
      </c>
      <c r="Q222" s="1" t="str">
        <f>O222 &amp; " " &amp; P222</f>
        <v>11°42'11.8"N 108°43'46.7"E</v>
      </c>
    </row>
    <row r="223" spans="1:17" ht="15.75" customHeight="1" x14ac:dyDescent="0.2">
      <c r="A223" s="1">
        <v>90</v>
      </c>
      <c r="B223" s="1" t="s">
        <v>359</v>
      </c>
      <c r="C223" s="1" t="s">
        <v>15</v>
      </c>
      <c r="D223" s="1" t="s">
        <v>16</v>
      </c>
      <c r="E223" s="1" t="s">
        <v>325</v>
      </c>
      <c r="F223" s="1" t="s">
        <v>326</v>
      </c>
      <c r="G223" s="1" t="s">
        <v>360</v>
      </c>
      <c r="H223" s="1" t="s">
        <v>361</v>
      </c>
      <c r="I223" s="1" t="s">
        <v>21</v>
      </c>
      <c r="J223" s="1" t="s">
        <v>22</v>
      </c>
      <c r="K223" s="2">
        <v>11.73672159</v>
      </c>
      <c r="L223" s="2">
        <v>106.90023115</v>
      </c>
      <c r="M223" s="1" t="s">
        <v>360</v>
      </c>
      <c r="N223" s="1" t="s">
        <v>330</v>
      </c>
      <c r="O223" s="1" t="str">
        <f>INT(K223)&amp;"°"&amp;INT(MOD(K223,1)*60)&amp;"'"&amp;
ROUND(MOD(MOD(K223,1)*60,1)*60,1)&amp;"""N"</f>
        <v>11°44'12.2"N</v>
      </c>
      <c r="P223" s="1" t="str">
        <f>INT(L223)&amp;"°"&amp;INT(MOD(L223,1)*60)&amp;"'"&amp;
ROUND(MOD(MOD(L223,1)*60,1)*60,1)&amp;"""E"</f>
        <v>106°54'0.8"E</v>
      </c>
      <c r="Q223" s="1" t="str">
        <f>O223 &amp; " " &amp; P223</f>
        <v>11°44'12.2"N 106°54'0.8"E</v>
      </c>
    </row>
    <row r="224" spans="1:17" ht="15.75" customHeight="1" x14ac:dyDescent="0.2">
      <c r="A224" s="1">
        <v>485</v>
      </c>
      <c r="B224" s="1" t="s">
        <v>1763</v>
      </c>
      <c r="C224" s="1" t="s">
        <v>15</v>
      </c>
      <c r="D224" s="1" t="s">
        <v>16</v>
      </c>
      <c r="E224" s="1" t="s">
        <v>1744</v>
      </c>
      <c r="F224" s="1" t="s">
        <v>1745</v>
      </c>
      <c r="G224" s="1" t="s">
        <v>1764</v>
      </c>
      <c r="H224" s="1" t="s">
        <v>1765</v>
      </c>
      <c r="I224" s="1" t="s">
        <v>21</v>
      </c>
      <c r="J224" s="1" t="s">
        <v>22</v>
      </c>
      <c r="K224" s="2">
        <v>11.74406153</v>
      </c>
      <c r="L224" s="2">
        <v>109.07055773</v>
      </c>
      <c r="M224" s="1" t="s">
        <v>1764</v>
      </c>
      <c r="N224" s="1" t="s">
        <v>1297</v>
      </c>
      <c r="O224" s="1" t="str">
        <f>INT(K224)&amp;"°"&amp;INT(MOD(K224,1)*60)&amp;"'"&amp;
ROUND(MOD(MOD(K224,1)*60,1)*60,1)&amp;"""N"</f>
        <v>11°44'38.6"N</v>
      </c>
      <c r="P224" s="1" t="str">
        <f>INT(L224)&amp;"°"&amp;INT(MOD(L224,1)*60)&amp;"'"&amp;
ROUND(MOD(MOD(L224,1)*60,1)*60,1)&amp;"""E"</f>
        <v>109°4'14"E</v>
      </c>
      <c r="Q224" s="1" t="str">
        <f>O224 &amp; " " &amp; P224</f>
        <v>11°44'38.6"N 109°4'14"E</v>
      </c>
    </row>
    <row r="225" spans="1:17" ht="15.75" customHeight="1" x14ac:dyDescent="0.2">
      <c r="A225" s="1">
        <v>402</v>
      </c>
      <c r="B225" s="1" t="s">
        <v>1470</v>
      </c>
      <c r="C225" s="1" t="s">
        <v>15</v>
      </c>
      <c r="D225" s="1" t="s">
        <v>16</v>
      </c>
      <c r="E225" s="1" t="s">
        <v>1442</v>
      </c>
      <c r="F225" s="1" t="s">
        <v>369</v>
      </c>
      <c r="G225" s="1" t="s">
        <v>1471</v>
      </c>
      <c r="H225" s="1" t="s">
        <v>1472</v>
      </c>
      <c r="I225" s="1" t="s">
        <v>21</v>
      </c>
      <c r="J225" s="1" t="s">
        <v>22</v>
      </c>
      <c r="K225" s="2">
        <v>11.768869860000001</v>
      </c>
      <c r="L225" s="2">
        <v>108.56273167000001</v>
      </c>
      <c r="M225" s="1" t="s">
        <v>1473</v>
      </c>
      <c r="N225" s="1" t="s">
        <v>369</v>
      </c>
      <c r="O225" s="1" t="str">
        <f>INT(K225)&amp;"°"&amp;INT(MOD(K225,1)*60)&amp;"'"&amp;
ROUND(MOD(MOD(K225,1)*60,1)*60,1)&amp;"""N"</f>
        <v>11°46'7.9"N</v>
      </c>
      <c r="P225" s="1" t="str">
        <f>INT(L225)&amp;"°"&amp;INT(MOD(L225,1)*60)&amp;"'"&amp;
ROUND(MOD(MOD(L225,1)*60,1)*60,1)&amp;"""E"</f>
        <v>108°33'45.8"E</v>
      </c>
      <c r="Q225" s="1" t="str">
        <f>O225 &amp; " " &amp; P225</f>
        <v>11°46'7.9"N 108°33'45.8"E</v>
      </c>
    </row>
    <row r="226" spans="1:17" ht="15.75" customHeight="1" x14ac:dyDescent="0.2">
      <c r="A226" s="1">
        <v>82</v>
      </c>
      <c r="B226" s="1" t="s">
        <v>331</v>
      </c>
      <c r="C226" s="1" t="s">
        <v>15</v>
      </c>
      <c r="D226" s="1" t="s">
        <v>16</v>
      </c>
      <c r="E226" s="1" t="s">
        <v>325</v>
      </c>
      <c r="F226" s="1" t="s">
        <v>326</v>
      </c>
      <c r="G226" s="1" t="s">
        <v>332</v>
      </c>
      <c r="H226" s="1" t="s">
        <v>333</v>
      </c>
      <c r="I226" s="1" t="s">
        <v>21</v>
      </c>
      <c r="J226" s="1" t="s">
        <v>22</v>
      </c>
      <c r="K226" s="2">
        <v>11.78262058</v>
      </c>
      <c r="L226" s="2">
        <v>107.21838479</v>
      </c>
      <c r="M226" s="1" t="s">
        <v>332</v>
      </c>
      <c r="N226" s="1" t="s">
        <v>330</v>
      </c>
      <c r="O226" s="1" t="str">
        <f>INT(K226)&amp;"°"&amp;INT(MOD(K226,1)*60)&amp;"'"&amp;
ROUND(MOD(MOD(K226,1)*60,1)*60,1)&amp;"""N"</f>
        <v>11°46'57.4"N</v>
      </c>
      <c r="P226" s="1" t="str">
        <f>INT(L226)&amp;"°"&amp;INT(MOD(L226,1)*60)&amp;"'"&amp;
ROUND(MOD(MOD(L226,1)*60,1)*60,1)&amp;"""E"</f>
        <v>107°13'6.2"E</v>
      </c>
      <c r="Q226" s="1" t="str">
        <f>O226 &amp; " " &amp; P226</f>
        <v>11°46'57.4"N 107°13'6.2"E</v>
      </c>
    </row>
    <row r="227" spans="1:17" ht="15.75" customHeight="1" x14ac:dyDescent="0.2">
      <c r="A227" s="1">
        <v>91</v>
      </c>
      <c r="B227" s="1" t="s">
        <v>362</v>
      </c>
      <c r="C227" s="1" t="s">
        <v>15</v>
      </c>
      <c r="D227" s="1" t="s">
        <v>16</v>
      </c>
      <c r="E227" s="1" t="s">
        <v>325</v>
      </c>
      <c r="F227" s="1" t="s">
        <v>326</v>
      </c>
      <c r="G227" s="1" t="s">
        <v>183</v>
      </c>
      <c r="H227" s="1" t="s">
        <v>184</v>
      </c>
      <c r="I227" s="1" t="s">
        <v>53</v>
      </c>
      <c r="J227" s="1" t="s">
        <v>54</v>
      </c>
      <c r="K227" s="2">
        <v>11.824631220000001</v>
      </c>
      <c r="L227" s="2">
        <v>106.99659637000001</v>
      </c>
      <c r="M227" s="1" t="s">
        <v>183</v>
      </c>
      <c r="N227" s="1" t="s">
        <v>330</v>
      </c>
      <c r="O227" s="1" t="str">
        <f>INT(K227)&amp;"°"&amp;INT(MOD(K227,1)*60)&amp;"'"&amp;
ROUND(MOD(MOD(K227,1)*60,1)*60,1)&amp;"""N"</f>
        <v>11°49'28.7"N</v>
      </c>
      <c r="P227" s="1" t="str">
        <f>INT(L227)&amp;"°"&amp;INT(MOD(L227,1)*60)&amp;"'"&amp;
ROUND(MOD(MOD(L227,1)*60,1)*60,1)&amp;"""E"</f>
        <v>106°59'47.7"E</v>
      </c>
      <c r="Q227" s="1" t="str">
        <f>O227 &amp; " " &amp; P227</f>
        <v>11°49'28.7"N 106°59'47.7"E</v>
      </c>
    </row>
    <row r="228" spans="1:17" ht="15.75" customHeight="1" x14ac:dyDescent="0.2">
      <c r="A228" s="1">
        <v>405</v>
      </c>
      <c r="B228" s="1" t="s">
        <v>1480</v>
      </c>
      <c r="C228" s="1" t="s">
        <v>15</v>
      </c>
      <c r="D228" s="1" t="s">
        <v>16</v>
      </c>
      <c r="E228" s="1" t="s">
        <v>1442</v>
      </c>
      <c r="F228" s="1" t="s">
        <v>369</v>
      </c>
      <c r="G228" s="1" t="s">
        <v>1481</v>
      </c>
      <c r="H228" s="1" t="s">
        <v>1482</v>
      </c>
      <c r="I228" s="1" t="s">
        <v>21</v>
      </c>
      <c r="J228" s="1" t="s">
        <v>22</v>
      </c>
      <c r="K228" s="2">
        <v>11.82725503</v>
      </c>
      <c r="L228" s="2">
        <v>108.20026623</v>
      </c>
      <c r="M228" s="1" t="s">
        <v>1483</v>
      </c>
      <c r="N228" s="1" t="s">
        <v>369</v>
      </c>
      <c r="O228" s="1" t="str">
        <f>INT(K228)&amp;"°"&amp;INT(MOD(K228,1)*60)&amp;"'"&amp;
ROUND(MOD(MOD(K228,1)*60,1)*60,1)&amp;"""N"</f>
        <v>11°49'38.1"N</v>
      </c>
      <c r="P228" s="1" t="str">
        <f>INT(L228)&amp;"°"&amp;INT(MOD(L228,1)*60)&amp;"'"&amp;
ROUND(MOD(MOD(L228,1)*60,1)*60,1)&amp;"""E"</f>
        <v>108°12'1"E</v>
      </c>
      <c r="Q228" s="1" t="str">
        <f>O228 &amp; " " &amp; P228</f>
        <v>11°49'38.1"N 108°12'1"E</v>
      </c>
    </row>
    <row r="229" spans="1:17" ht="15.75" customHeight="1" x14ac:dyDescent="0.2">
      <c r="A229" s="1">
        <v>89</v>
      </c>
      <c r="B229" s="1" t="s">
        <v>355</v>
      </c>
      <c r="C229" s="1" t="s">
        <v>15</v>
      </c>
      <c r="D229" s="1" t="s">
        <v>16</v>
      </c>
      <c r="E229" s="1" t="s">
        <v>325</v>
      </c>
      <c r="F229" s="1" t="s">
        <v>326</v>
      </c>
      <c r="G229" s="1" t="s">
        <v>356</v>
      </c>
      <c r="H229" s="1" t="s">
        <v>357</v>
      </c>
      <c r="I229" s="1" t="s">
        <v>21</v>
      </c>
      <c r="J229" s="1" t="s">
        <v>22</v>
      </c>
      <c r="K229" s="2">
        <v>11.84656588</v>
      </c>
      <c r="L229" s="2">
        <v>106.57255446000001</v>
      </c>
      <c r="M229" s="1" t="s">
        <v>358</v>
      </c>
      <c r="N229" s="1" t="s">
        <v>330</v>
      </c>
      <c r="O229" s="1" t="str">
        <f>INT(K229)&amp;"°"&amp;INT(MOD(K229,1)*60)&amp;"'"&amp;
ROUND(MOD(MOD(K229,1)*60,1)*60,1)&amp;"""N"</f>
        <v>11°50'47.6"N</v>
      </c>
      <c r="P229" s="1" t="str">
        <f>INT(L229)&amp;"°"&amp;INT(MOD(L229,1)*60)&amp;"'"&amp;
ROUND(MOD(MOD(L229,1)*60,1)*60,1)&amp;"""E"</f>
        <v>106°34'21.2"E</v>
      </c>
      <c r="Q229" s="1" t="str">
        <f>O229 &amp; " " &amp; P229</f>
        <v>11°50'47.6"N 106°34'21.2"E</v>
      </c>
    </row>
    <row r="230" spans="1:17" ht="15.75" customHeight="1" x14ac:dyDescent="0.2">
      <c r="A230" s="1">
        <v>480</v>
      </c>
      <c r="B230" s="1" t="s">
        <v>1743</v>
      </c>
      <c r="C230" s="1" t="s">
        <v>15</v>
      </c>
      <c r="D230" s="1" t="s">
        <v>16</v>
      </c>
      <c r="E230" s="1" t="s">
        <v>1744</v>
      </c>
      <c r="F230" s="1" t="s">
        <v>1745</v>
      </c>
      <c r="G230" s="1" t="s">
        <v>1746</v>
      </c>
      <c r="H230" s="1" t="s">
        <v>1747</v>
      </c>
      <c r="I230" s="1" t="s">
        <v>21</v>
      </c>
      <c r="J230" s="1" t="s">
        <v>22</v>
      </c>
      <c r="K230" s="2">
        <v>11.903092129999999</v>
      </c>
      <c r="L230" s="2">
        <v>108.84733262</v>
      </c>
      <c r="M230" s="1" t="s">
        <v>1746</v>
      </c>
      <c r="N230" s="1" t="s">
        <v>1297</v>
      </c>
      <c r="O230" s="1" t="str">
        <f>INT(K230)&amp;"°"&amp;INT(MOD(K230,1)*60)&amp;"'"&amp;
ROUND(MOD(MOD(K230,1)*60,1)*60,1)&amp;"""N"</f>
        <v>11°54'11.1"N</v>
      </c>
      <c r="P230" s="1" t="str">
        <f>INT(L230)&amp;"°"&amp;INT(MOD(L230,1)*60)&amp;"'"&amp;
ROUND(MOD(MOD(L230,1)*60,1)*60,1)&amp;"""E"</f>
        <v>108°50'50.4"E</v>
      </c>
      <c r="Q230" s="1" t="str">
        <f>O230 &amp; " " &amp; P230</f>
        <v>11°54'11.1"N 108°50'50.4"E</v>
      </c>
    </row>
    <row r="231" spans="1:17" ht="15.75" customHeight="1" x14ac:dyDescent="0.2">
      <c r="A231" s="1">
        <v>158</v>
      </c>
      <c r="B231" s="1" t="s">
        <v>603</v>
      </c>
      <c r="C231" s="1" t="s">
        <v>15</v>
      </c>
      <c r="D231" s="1" t="s">
        <v>16</v>
      </c>
      <c r="E231" s="1" t="s">
        <v>591</v>
      </c>
      <c r="F231" s="1" t="s">
        <v>592</v>
      </c>
      <c r="G231" s="1" t="s">
        <v>604</v>
      </c>
      <c r="H231" s="1" t="s">
        <v>605</v>
      </c>
      <c r="I231" s="1" t="s">
        <v>21</v>
      </c>
      <c r="J231" s="1" t="s">
        <v>22</v>
      </c>
      <c r="K231" s="2">
        <v>11.90464905</v>
      </c>
      <c r="L231" s="2">
        <v>107.51606583</v>
      </c>
      <c r="M231" s="1" t="s">
        <v>606</v>
      </c>
      <c r="N231" s="1" t="s">
        <v>369</v>
      </c>
      <c r="O231" s="1" t="str">
        <f>INT(K231)&amp;"°"&amp;INT(MOD(K231,1)*60)&amp;"'"&amp;
ROUND(MOD(MOD(K231,1)*60,1)*60,1)&amp;"""N"</f>
        <v>11°54'16.7"N</v>
      </c>
      <c r="P231" s="1" t="str">
        <f>INT(L231)&amp;"°"&amp;INT(MOD(L231,1)*60)&amp;"'"&amp;
ROUND(MOD(MOD(L231,1)*60,1)*60,1)&amp;"""E"</f>
        <v>107°30'57.8"E</v>
      </c>
      <c r="Q231" s="1" t="str">
        <f>O231 &amp; " " &amp; P231</f>
        <v>11°54'16.7"N 107°30'57.8"E</v>
      </c>
    </row>
    <row r="232" spans="1:17" ht="15.75" customHeight="1" x14ac:dyDescent="0.2">
      <c r="A232" s="1">
        <v>354</v>
      </c>
      <c r="B232" s="1" t="s">
        <v>1301</v>
      </c>
      <c r="C232" s="1" t="s">
        <v>15</v>
      </c>
      <c r="D232" s="1" t="s">
        <v>16</v>
      </c>
      <c r="E232" s="1" t="s">
        <v>1296</v>
      </c>
      <c r="F232" s="1" t="s">
        <v>1297</v>
      </c>
      <c r="G232" s="1" t="s">
        <v>1302</v>
      </c>
      <c r="H232" s="1" t="s">
        <v>1302</v>
      </c>
      <c r="I232" s="1" t="s">
        <v>27</v>
      </c>
      <c r="J232" s="1" t="s">
        <v>28</v>
      </c>
      <c r="K232" s="2">
        <v>11.913441949999999</v>
      </c>
      <c r="L232" s="2">
        <v>109.15395952</v>
      </c>
      <c r="M232" s="1" t="s">
        <v>1302</v>
      </c>
      <c r="N232" s="1" t="s">
        <v>1297</v>
      </c>
      <c r="O232" s="1" t="str">
        <f>INT(K232)&amp;"°"&amp;INT(MOD(K232,1)*60)&amp;"'"&amp;
ROUND(MOD(MOD(K232,1)*60,1)*60,1)&amp;"""N"</f>
        <v>11°54'48.4"N</v>
      </c>
      <c r="P232" s="1" t="str">
        <f>INT(L232)&amp;"°"&amp;INT(MOD(L232,1)*60)&amp;"'"&amp;
ROUND(MOD(MOD(L232,1)*60,1)*60,1)&amp;"""E"</f>
        <v>109°9'14.3"E</v>
      </c>
      <c r="Q232" s="1" t="str">
        <f>O232 &amp; " " &amp; P232</f>
        <v>11°54'48.4"N 109°9'14.3"E</v>
      </c>
    </row>
    <row r="233" spans="1:17" ht="15.75" customHeight="1" x14ac:dyDescent="0.2">
      <c r="A233" s="1">
        <v>398</v>
      </c>
      <c r="B233" s="1" t="s">
        <v>1456</v>
      </c>
      <c r="C233" s="1" t="s">
        <v>15</v>
      </c>
      <c r="D233" s="1" t="s">
        <v>16</v>
      </c>
      <c r="E233" s="1" t="s">
        <v>1442</v>
      </c>
      <c r="F233" s="1" t="s">
        <v>369</v>
      </c>
      <c r="G233" s="1" t="s">
        <v>1457</v>
      </c>
      <c r="H233" s="1" t="s">
        <v>1458</v>
      </c>
      <c r="I233" s="1" t="s">
        <v>27</v>
      </c>
      <c r="J233" s="1" t="s">
        <v>28</v>
      </c>
      <c r="K233" s="2">
        <v>11.92093268</v>
      </c>
      <c r="L233" s="2">
        <v>108.46366132999999</v>
      </c>
      <c r="M233" s="1" t="s">
        <v>1459</v>
      </c>
      <c r="N233" s="1" t="s">
        <v>369</v>
      </c>
      <c r="O233" s="1" t="str">
        <f>INT(K233)&amp;"°"&amp;INT(MOD(K233,1)*60)&amp;"'"&amp;
ROUND(MOD(MOD(K233,1)*60,1)*60,1)&amp;"""N"</f>
        <v>11°55'15.4"N</v>
      </c>
      <c r="P233" s="1" t="str">
        <f>INT(L233)&amp;"°"&amp;INT(MOD(L233,1)*60)&amp;"'"&amp;
ROUND(MOD(MOD(L233,1)*60,1)*60,1)&amp;"""E"</f>
        <v>108°27'49.2"E</v>
      </c>
      <c r="Q233" s="1" t="str">
        <f>O233 &amp; " " &amp; P233</f>
        <v>11°55'15.4"N 108°27'49.2"E</v>
      </c>
    </row>
    <row r="234" spans="1:17" ht="15.75" customHeight="1" x14ac:dyDescent="0.2">
      <c r="A234" s="1">
        <v>83</v>
      </c>
      <c r="B234" s="1" t="s">
        <v>334</v>
      </c>
      <c r="C234" s="1" t="s">
        <v>15</v>
      </c>
      <c r="D234" s="1" t="s">
        <v>16</v>
      </c>
      <c r="E234" s="1" t="s">
        <v>325</v>
      </c>
      <c r="F234" s="1" t="s">
        <v>326</v>
      </c>
      <c r="G234" s="1" t="s">
        <v>335</v>
      </c>
      <c r="H234" s="1" t="s">
        <v>336</v>
      </c>
      <c r="I234" s="1" t="s">
        <v>21</v>
      </c>
      <c r="J234" s="1" t="s">
        <v>22</v>
      </c>
      <c r="K234" s="2">
        <v>11.99309203</v>
      </c>
      <c r="L234" s="2">
        <v>106.82155779</v>
      </c>
      <c r="M234" s="1" t="s">
        <v>337</v>
      </c>
      <c r="N234" s="1" t="s">
        <v>330</v>
      </c>
      <c r="O234" s="1" t="str">
        <f>INT(K234)&amp;"°"&amp;INT(MOD(K234,1)*60)&amp;"'"&amp;
ROUND(MOD(MOD(K234,1)*60,1)*60,1)&amp;"""N"</f>
        <v>11°59'35.1"N</v>
      </c>
      <c r="P234" s="1" t="str">
        <f>INT(L234)&amp;"°"&amp;INT(MOD(L234,1)*60)&amp;"'"&amp;
ROUND(MOD(MOD(L234,1)*60,1)*60,1)&amp;"""E"</f>
        <v>106°49'17.6"E</v>
      </c>
      <c r="Q234" s="1" t="str">
        <f>O234 &amp; " " &amp; P234</f>
        <v>11°59'35.1"N 106°49'17.6"E</v>
      </c>
    </row>
    <row r="235" spans="1:17" ht="15.75" customHeight="1" x14ac:dyDescent="0.2">
      <c r="A235" s="1">
        <v>160</v>
      </c>
      <c r="B235" s="1" t="s">
        <v>611</v>
      </c>
      <c r="C235" s="1" t="s">
        <v>15</v>
      </c>
      <c r="D235" s="1" t="s">
        <v>16</v>
      </c>
      <c r="E235" s="1" t="s">
        <v>591</v>
      </c>
      <c r="F235" s="1" t="s">
        <v>592</v>
      </c>
      <c r="G235" s="1" t="s">
        <v>612</v>
      </c>
      <c r="H235" s="1" t="s">
        <v>613</v>
      </c>
      <c r="I235" s="1" t="s">
        <v>53</v>
      </c>
      <c r="J235" s="1" t="s">
        <v>54</v>
      </c>
      <c r="K235" s="2">
        <v>12.006701570000001</v>
      </c>
      <c r="L235" s="2">
        <v>107.69589114</v>
      </c>
      <c r="M235" s="1" t="s">
        <v>614</v>
      </c>
      <c r="N235" s="1" t="s">
        <v>369</v>
      </c>
      <c r="O235" s="1" t="str">
        <f>INT(K235)&amp;"°"&amp;INT(MOD(K235,1)*60)&amp;"'"&amp;
ROUND(MOD(MOD(K235,1)*60,1)*60,1)&amp;"""N"</f>
        <v>12°0'24.1"N</v>
      </c>
      <c r="P235" s="1" t="str">
        <f>INT(L235)&amp;"°"&amp;INT(MOD(L235,1)*60)&amp;"'"&amp;
ROUND(MOD(MOD(L235,1)*60,1)*60,1)&amp;"""E"</f>
        <v>107°41'45.2"E</v>
      </c>
      <c r="Q235" s="1" t="str">
        <f>O235 &amp; " " &amp; P235</f>
        <v>12°0'24.1"N 107°41'45.2"E</v>
      </c>
    </row>
    <row r="236" spans="1:17" ht="15.75" customHeight="1" x14ac:dyDescent="0.2">
      <c r="A236" s="1">
        <v>84</v>
      </c>
      <c r="B236" s="1" t="s">
        <v>338</v>
      </c>
      <c r="C236" s="1" t="s">
        <v>15</v>
      </c>
      <c r="D236" s="1" t="s">
        <v>16</v>
      </c>
      <c r="E236" s="1" t="s">
        <v>325</v>
      </c>
      <c r="F236" s="1" t="s">
        <v>326</v>
      </c>
      <c r="G236" s="1" t="s">
        <v>339</v>
      </c>
      <c r="H236" s="1" t="s">
        <v>340</v>
      </c>
      <c r="I236" s="1" t="s">
        <v>21</v>
      </c>
      <c r="J236" s="1" t="s">
        <v>22</v>
      </c>
      <c r="K236" s="2">
        <v>12.024228150000001</v>
      </c>
      <c r="L236" s="2">
        <v>107.04702983</v>
      </c>
      <c r="M236" s="1" t="s">
        <v>341</v>
      </c>
      <c r="N236" s="1" t="s">
        <v>330</v>
      </c>
      <c r="O236" s="1" t="str">
        <f>INT(K236)&amp;"°"&amp;INT(MOD(K236,1)*60)&amp;"'"&amp;
ROUND(MOD(MOD(K236,1)*60,1)*60,1)&amp;"""N"</f>
        <v>12°1'27.2"N</v>
      </c>
      <c r="P236" s="1" t="str">
        <f>INT(L236)&amp;"°"&amp;INT(MOD(L236,1)*60)&amp;"'"&amp;
ROUND(MOD(MOD(L236,1)*60,1)*60,1)&amp;"""E"</f>
        <v>107°2'49.3"E</v>
      </c>
      <c r="Q236" s="1" t="str">
        <f>O236 &amp; " " &amp; P236</f>
        <v>12°1'27.2"N 107°2'49.3"E</v>
      </c>
    </row>
    <row r="237" spans="1:17" ht="15.75" customHeight="1" x14ac:dyDescent="0.2">
      <c r="A237" s="1">
        <v>356</v>
      </c>
      <c r="B237" s="1" t="s">
        <v>1307</v>
      </c>
      <c r="C237" s="1" t="s">
        <v>15</v>
      </c>
      <c r="D237" s="1" t="s">
        <v>16</v>
      </c>
      <c r="E237" s="1" t="s">
        <v>1296</v>
      </c>
      <c r="F237" s="1" t="s">
        <v>1297</v>
      </c>
      <c r="G237" s="1" t="s">
        <v>1308</v>
      </c>
      <c r="H237" s="1" t="s">
        <v>1309</v>
      </c>
      <c r="I237" s="1" t="s">
        <v>21</v>
      </c>
      <c r="J237" s="1" t="s">
        <v>22</v>
      </c>
      <c r="K237" s="2">
        <v>12.030153459999999</v>
      </c>
      <c r="L237" s="2">
        <v>108.90462177000001</v>
      </c>
      <c r="M237" s="1" t="s">
        <v>1308</v>
      </c>
      <c r="N237" s="1" t="s">
        <v>1297</v>
      </c>
      <c r="O237" s="1" t="str">
        <f>INT(K237)&amp;"°"&amp;INT(MOD(K237,1)*60)&amp;"'"&amp;
ROUND(MOD(MOD(K237,1)*60,1)*60,1)&amp;"""N"</f>
        <v>12°1'48.6"N</v>
      </c>
      <c r="P237" s="1" t="str">
        <f>INT(L237)&amp;"°"&amp;INT(MOD(L237,1)*60)&amp;"'"&amp;
ROUND(MOD(MOD(L237,1)*60,1)*60,1)&amp;"""E"</f>
        <v>108°54'16.6"E</v>
      </c>
      <c r="Q237" s="1" t="str">
        <f>O237 &amp; " " &amp; P237</f>
        <v>12°1'48.6"N 108°54'16.6"E</v>
      </c>
    </row>
    <row r="238" spans="1:17" ht="15.75" customHeight="1" x14ac:dyDescent="0.2">
      <c r="A238" s="1">
        <v>156</v>
      </c>
      <c r="B238" s="1" t="s">
        <v>596</v>
      </c>
      <c r="C238" s="1" t="s">
        <v>15</v>
      </c>
      <c r="D238" s="1" t="s">
        <v>16</v>
      </c>
      <c r="E238" s="1" t="s">
        <v>591</v>
      </c>
      <c r="F238" s="1" t="s">
        <v>592</v>
      </c>
      <c r="G238" s="1" t="s">
        <v>597</v>
      </c>
      <c r="H238" s="1" t="s">
        <v>598</v>
      </c>
      <c r="I238" s="1" t="s">
        <v>21</v>
      </c>
      <c r="J238" s="1" t="s">
        <v>22</v>
      </c>
      <c r="K238" s="2">
        <v>12.03315136</v>
      </c>
      <c r="L238" s="2">
        <v>107.90556017</v>
      </c>
      <c r="M238" s="1" t="s">
        <v>599</v>
      </c>
      <c r="N238" s="1" t="s">
        <v>369</v>
      </c>
      <c r="O238" s="1" t="str">
        <f>INT(K238)&amp;"°"&amp;INT(MOD(K238,1)*60)&amp;"'"&amp;
ROUND(MOD(MOD(K238,1)*60,1)*60,1)&amp;"""N"</f>
        <v>12°1'59.3"N</v>
      </c>
      <c r="P238" s="1" t="str">
        <f>INT(L238)&amp;"°"&amp;INT(MOD(L238,1)*60)&amp;"'"&amp;
ROUND(MOD(MOD(L238,1)*60,1)*60,1)&amp;"""E"</f>
        <v>107°54'20"E</v>
      </c>
      <c r="Q238" s="1" t="str">
        <f>O238 &amp; " " &amp; P238</f>
        <v>12°1'59.3"N 107°54'20"E</v>
      </c>
    </row>
    <row r="239" spans="1:17" ht="15.75" customHeight="1" x14ac:dyDescent="0.2">
      <c r="A239" s="1">
        <v>400</v>
      </c>
      <c r="B239" s="1" t="s">
        <v>1464</v>
      </c>
      <c r="C239" s="1" t="s">
        <v>15</v>
      </c>
      <c r="D239" s="1" t="s">
        <v>16</v>
      </c>
      <c r="E239" s="1" t="s">
        <v>1442</v>
      </c>
      <c r="F239" s="1" t="s">
        <v>369</v>
      </c>
      <c r="G239" s="1" t="s">
        <v>1465</v>
      </c>
      <c r="H239" s="1" t="s">
        <v>1466</v>
      </c>
      <c r="I239" s="1" t="s">
        <v>21</v>
      </c>
      <c r="J239" s="1" t="s">
        <v>22</v>
      </c>
      <c r="K239" s="2">
        <v>12.06756356</v>
      </c>
      <c r="L239" s="2">
        <v>108.17138306</v>
      </c>
      <c r="M239" s="1" t="s">
        <v>1467</v>
      </c>
      <c r="N239" s="1" t="s">
        <v>369</v>
      </c>
      <c r="O239" s="1" t="str">
        <f>INT(K239)&amp;"°"&amp;INT(MOD(K239,1)*60)&amp;"'"&amp;
ROUND(MOD(MOD(K239,1)*60,1)*60,1)&amp;"""N"</f>
        <v>12°4'3.2"N</v>
      </c>
      <c r="P239" s="1" t="str">
        <f>INT(L239)&amp;"°"&amp;INT(MOD(L239,1)*60)&amp;"'"&amp;
ROUND(MOD(MOD(L239,1)*60,1)*60,1)&amp;"""E"</f>
        <v>108°10'17"E</v>
      </c>
      <c r="Q239" s="1" t="str">
        <f>O239 &amp; " " &amp; P239</f>
        <v>12°4'3.2"N 108°10'17"E</v>
      </c>
    </row>
    <row r="240" spans="1:17" ht="15.75" customHeight="1" x14ac:dyDescent="0.2">
      <c r="A240" s="1">
        <v>353</v>
      </c>
      <c r="B240" s="1" t="s">
        <v>1295</v>
      </c>
      <c r="C240" s="1" t="s">
        <v>15</v>
      </c>
      <c r="D240" s="1" t="s">
        <v>16</v>
      </c>
      <c r="E240" s="1" t="s">
        <v>1296</v>
      </c>
      <c r="F240" s="1" t="s">
        <v>1297</v>
      </c>
      <c r="G240" s="1" t="s">
        <v>1298</v>
      </c>
      <c r="H240" s="1" t="s">
        <v>1299</v>
      </c>
      <c r="I240" s="1" t="s">
        <v>21</v>
      </c>
      <c r="J240" s="1" t="s">
        <v>22</v>
      </c>
      <c r="K240" s="2">
        <v>12.08077095</v>
      </c>
      <c r="L240" s="2">
        <v>109.08076359</v>
      </c>
      <c r="M240" s="1" t="s">
        <v>1300</v>
      </c>
      <c r="N240" s="1" t="s">
        <v>1297</v>
      </c>
      <c r="O240" s="1" t="str">
        <f>INT(K240)&amp;"°"&amp;INT(MOD(K240,1)*60)&amp;"'"&amp;
ROUND(MOD(MOD(K240,1)*60,1)*60,1)&amp;"""N"</f>
        <v>12°4'50.8"N</v>
      </c>
      <c r="P240" s="1" t="str">
        <f>INT(L240)&amp;"°"&amp;INT(MOD(L240,1)*60)&amp;"'"&amp;
ROUND(MOD(MOD(L240,1)*60,1)*60,1)&amp;"""E"</f>
        <v>109°4'50.7"E</v>
      </c>
      <c r="Q240" s="1" t="str">
        <f>O240 &amp; " " &amp; P240</f>
        <v>12°4'50.8"N 109°4'50.7"E</v>
      </c>
    </row>
    <row r="241" spans="1:17" ht="15.75" customHeight="1" x14ac:dyDescent="0.2">
      <c r="A241" s="1">
        <v>404</v>
      </c>
      <c r="B241" s="1" t="s">
        <v>1477</v>
      </c>
      <c r="C241" s="1" t="s">
        <v>15</v>
      </c>
      <c r="D241" s="1" t="s">
        <v>16</v>
      </c>
      <c r="E241" s="1" t="s">
        <v>1442</v>
      </c>
      <c r="F241" s="1" t="s">
        <v>369</v>
      </c>
      <c r="G241" s="1" t="s">
        <v>1478</v>
      </c>
      <c r="H241" s="1" t="s">
        <v>1479</v>
      </c>
      <c r="I241" s="1" t="s">
        <v>21</v>
      </c>
      <c r="J241" s="1" t="s">
        <v>22</v>
      </c>
      <c r="K241" s="2">
        <v>12.128271140000001</v>
      </c>
      <c r="L241" s="2">
        <v>108.52775627</v>
      </c>
      <c r="M241" s="1" t="s">
        <v>1478</v>
      </c>
      <c r="N241" s="1" t="s">
        <v>369</v>
      </c>
      <c r="O241" s="1" t="str">
        <f>INT(K241)&amp;"°"&amp;INT(MOD(K241,1)*60)&amp;"'"&amp;
ROUND(MOD(MOD(K241,1)*60,1)*60,1)&amp;"""N"</f>
        <v>12°7'41.8"N</v>
      </c>
      <c r="P241" s="1" t="str">
        <f>INT(L241)&amp;"°"&amp;INT(MOD(L241,1)*60)&amp;"'"&amp;
ROUND(MOD(MOD(L241,1)*60,1)*60,1)&amp;"""E"</f>
        <v>108°31'39.9"E</v>
      </c>
      <c r="Q241" s="1" t="str">
        <f>O241 &amp; " " &amp; P241</f>
        <v>12°7'41.8"N 108°31'39.9"E</v>
      </c>
    </row>
    <row r="242" spans="1:17" ht="15.75" customHeight="1" x14ac:dyDescent="0.2">
      <c r="A242" s="1">
        <v>162</v>
      </c>
      <c r="B242" s="1" t="s">
        <v>619</v>
      </c>
      <c r="C242" s="1" t="s">
        <v>15</v>
      </c>
      <c r="D242" s="1" t="s">
        <v>16</v>
      </c>
      <c r="E242" s="1" t="s">
        <v>591</v>
      </c>
      <c r="F242" s="1" t="s">
        <v>592</v>
      </c>
      <c r="G242" s="1" t="s">
        <v>620</v>
      </c>
      <c r="H242" s="1" t="s">
        <v>621</v>
      </c>
      <c r="I242" s="1" t="s">
        <v>21</v>
      </c>
      <c r="J242" s="1" t="s">
        <v>22</v>
      </c>
      <c r="K242" s="2">
        <v>12.14108892</v>
      </c>
      <c r="L242" s="2">
        <v>107.37730464000001</v>
      </c>
      <c r="M242" s="1" t="s">
        <v>622</v>
      </c>
      <c r="N242" s="1" t="s">
        <v>369</v>
      </c>
      <c r="O242" s="1" t="str">
        <f>INT(K242)&amp;"°"&amp;INT(MOD(K242,1)*60)&amp;"'"&amp;
ROUND(MOD(MOD(K242,1)*60,1)*60,1)&amp;"""N"</f>
        <v>12°8'27.9"N</v>
      </c>
      <c r="P242" s="1" t="str">
        <f>INT(L242)&amp;"°"&amp;INT(MOD(L242,1)*60)&amp;"'"&amp;
ROUND(MOD(MOD(L242,1)*60,1)*60,1)&amp;"""E"</f>
        <v>107°22'38.3"E</v>
      </c>
      <c r="Q242" s="1" t="str">
        <f>O242 &amp; " " &amp; P242</f>
        <v>12°8'27.9"N 107°22'38.3"E</v>
      </c>
    </row>
    <row r="243" spans="1:17" ht="15.75" customHeight="1" x14ac:dyDescent="0.2">
      <c r="A243" s="1">
        <v>159</v>
      </c>
      <c r="B243" s="1" t="s">
        <v>607</v>
      </c>
      <c r="C243" s="1" t="s">
        <v>15</v>
      </c>
      <c r="D243" s="1" t="s">
        <v>16</v>
      </c>
      <c r="E243" s="1" t="s">
        <v>591</v>
      </c>
      <c r="F243" s="1" t="s">
        <v>592</v>
      </c>
      <c r="G243" s="1" t="s">
        <v>608</v>
      </c>
      <c r="H243" s="1" t="s">
        <v>609</v>
      </c>
      <c r="I243" s="1" t="s">
        <v>21</v>
      </c>
      <c r="J243" s="1" t="s">
        <v>22</v>
      </c>
      <c r="K243" s="2">
        <v>12.232477619999999</v>
      </c>
      <c r="L243" s="2">
        <v>107.627638</v>
      </c>
      <c r="M243" s="1" t="s">
        <v>610</v>
      </c>
      <c r="N243" s="1" t="s">
        <v>369</v>
      </c>
      <c r="O243" s="1" t="str">
        <f>INT(K243)&amp;"°"&amp;INT(MOD(K243,1)*60)&amp;"'"&amp;
ROUND(MOD(MOD(K243,1)*60,1)*60,1)&amp;"""N"</f>
        <v>12°13'56.9"N</v>
      </c>
      <c r="P243" s="1" t="str">
        <f>INT(L243)&amp;"°"&amp;INT(MOD(L243,1)*60)&amp;"'"&amp;
ROUND(MOD(MOD(L243,1)*60,1)*60,1)&amp;"""E"</f>
        <v>107°37'39.5"E</v>
      </c>
      <c r="Q243" s="1" t="str">
        <f>O243 &amp; " " &amp; P243</f>
        <v>12°13'56.9"N 107°37'39.5"E</v>
      </c>
    </row>
    <row r="244" spans="1:17" ht="15.75" customHeight="1" x14ac:dyDescent="0.2">
      <c r="A244" s="1">
        <v>358</v>
      </c>
      <c r="B244" s="1" t="s">
        <v>1314</v>
      </c>
      <c r="C244" s="1" t="s">
        <v>15</v>
      </c>
      <c r="D244" s="1" t="s">
        <v>16</v>
      </c>
      <c r="E244" s="1" t="s">
        <v>1296</v>
      </c>
      <c r="F244" s="1" t="s">
        <v>1297</v>
      </c>
      <c r="G244" s="1" t="s">
        <v>1315</v>
      </c>
      <c r="H244" s="1" t="s">
        <v>1315</v>
      </c>
      <c r="I244" s="1" t="s">
        <v>27</v>
      </c>
      <c r="J244" s="1" t="s">
        <v>28</v>
      </c>
      <c r="K244" s="2">
        <v>12.254343929999999</v>
      </c>
      <c r="L244" s="2">
        <v>109.18678878999999</v>
      </c>
      <c r="M244" s="1" t="s">
        <v>1316</v>
      </c>
      <c r="N244" s="1" t="s">
        <v>1297</v>
      </c>
      <c r="O244" s="1" t="str">
        <f>INT(K244)&amp;"°"&amp;INT(MOD(K244,1)*60)&amp;"'"&amp;
ROUND(MOD(MOD(K244,1)*60,1)*60,1)&amp;"""N"</f>
        <v>12°15'15.6"N</v>
      </c>
      <c r="P244" s="1" t="str">
        <f>INT(L244)&amp;"°"&amp;INT(MOD(L244,1)*60)&amp;"'"&amp;
ROUND(MOD(MOD(L244,1)*60,1)*60,1)&amp;"""E"</f>
        <v>109°11'12.4"E</v>
      </c>
      <c r="Q244" s="1" t="str">
        <f>O244 &amp; " " &amp; P244</f>
        <v>12°15'15.6"N 109°11'12.4"E</v>
      </c>
    </row>
    <row r="245" spans="1:17" ht="15.75" customHeight="1" x14ac:dyDescent="0.2">
      <c r="A245" s="1">
        <v>355</v>
      </c>
      <c r="B245" s="1" t="s">
        <v>1303</v>
      </c>
      <c r="C245" s="1" t="s">
        <v>15</v>
      </c>
      <c r="D245" s="1" t="s">
        <v>16</v>
      </c>
      <c r="E245" s="1" t="s">
        <v>1296</v>
      </c>
      <c r="F245" s="1" t="s">
        <v>1297</v>
      </c>
      <c r="G245" s="1" t="s">
        <v>1304</v>
      </c>
      <c r="H245" s="1" t="s">
        <v>1305</v>
      </c>
      <c r="I245" s="1" t="s">
        <v>21</v>
      </c>
      <c r="J245" s="1" t="s">
        <v>22</v>
      </c>
      <c r="K245" s="2">
        <v>12.275105910000001</v>
      </c>
      <c r="L245" s="2">
        <v>109.03885105000001</v>
      </c>
      <c r="M245" s="1" t="s">
        <v>1306</v>
      </c>
      <c r="N245" s="1" t="s">
        <v>1297</v>
      </c>
      <c r="O245" s="1" t="str">
        <f>INT(K245)&amp;"°"&amp;INT(MOD(K245,1)*60)&amp;"'"&amp;
ROUND(MOD(MOD(K245,1)*60,1)*60,1)&amp;"""N"</f>
        <v>12°16'30.4"N</v>
      </c>
      <c r="P245" s="1" t="str">
        <f>INT(L245)&amp;"°"&amp;INT(MOD(L245,1)*60)&amp;"'"&amp;
ROUND(MOD(MOD(L245,1)*60,1)*60,1)&amp;"""E"</f>
        <v>109°2'19.9"E</v>
      </c>
      <c r="Q245" s="1" t="str">
        <f>O245 &amp; " " &amp; P245</f>
        <v>12°16'30.4"N 109°2'19.9"E</v>
      </c>
    </row>
    <row r="246" spans="1:17" ht="15.75" customHeight="1" x14ac:dyDescent="0.2">
      <c r="A246" s="1">
        <v>357</v>
      </c>
      <c r="B246" s="1" t="s">
        <v>1310</v>
      </c>
      <c r="C246" s="1" t="s">
        <v>15</v>
      </c>
      <c r="D246" s="1" t="s">
        <v>16</v>
      </c>
      <c r="E246" s="1" t="s">
        <v>1296</v>
      </c>
      <c r="F246" s="1" t="s">
        <v>1297</v>
      </c>
      <c r="G246" s="1" t="s">
        <v>1311</v>
      </c>
      <c r="H246" s="1" t="s">
        <v>1312</v>
      </c>
      <c r="I246" s="1" t="s">
        <v>21</v>
      </c>
      <c r="J246" s="1" t="s">
        <v>22</v>
      </c>
      <c r="K246" s="2">
        <v>12.312277959999999</v>
      </c>
      <c r="L246" s="2">
        <v>108.84091232</v>
      </c>
      <c r="M246" s="1" t="s">
        <v>1313</v>
      </c>
      <c r="N246" s="1" t="s">
        <v>1297</v>
      </c>
      <c r="O246" s="1" t="str">
        <f>INT(K246)&amp;"°"&amp;INT(MOD(K246,1)*60)&amp;"'"&amp;
ROUND(MOD(MOD(K246,1)*60,1)*60,1)&amp;"""N"</f>
        <v>12°18'44.2"N</v>
      </c>
      <c r="P246" s="1" t="str">
        <f>INT(L246)&amp;"°"&amp;INT(MOD(L246,1)*60)&amp;"'"&amp;
ROUND(MOD(MOD(L246,1)*60,1)*60,1)&amp;"""E"</f>
        <v>108°50'27.3"E</v>
      </c>
      <c r="Q246" s="1" t="str">
        <f>O246 &amp; " " &amp; P246</f>
        <v>12°18'44.2"N 108°50'27.3"E</v>
      </c>
    </row>
    <row r="247" spans="1:17" ht="15.75" customHeight="1" x14ac:dyDescent="0.2">
      <c r="A247" s="1">
        <v>152</v>
      </c>
      <c r="B247" s="1" t="s">
        <v>578</v>
      </c>
      <c r="C247" s="1" t="s">
        <v>15</v>
      </c>
      <c r="D247" s="1" t="s">
        <v>16</v>
      </c>
      <c r="E247" s="1" t="s">
        <v>535</v>
      </c>
      <c r="F247" s="1" t="s">
        <v>536</v>
      </c>
      <c r="G247" s="1" t="s">
        <v>579</v>
      </c>
      <c r="H247" s="1" t="s">
        <v>580</v>
      </c>
      <c r="I247" s="1" t="s">
        <v>21</v>
      </c>
      <c r="J247" s="1" t="s">
        <v>22</v>
      </c>
      <c r="K247" s="2">
        <v>12.32952206</v>
      </c>
      <c r="L247" s="2">
        <v>108.2161802</v>
      </c>
      <c r="M247" s="1" t="s">
        <v>581</v>
      </c>
      <c r="N247" s="1" t="s">
        <v>536</v>
      </c>
      <c r="O247" s="1" t="str">
        <f>INT(K247)&amp;"°"&amp;INT(MOD(K247,1)*60)&amp;"'"&amp;
ROUND(MOD(MOD(K247,1)*60,1)*60,1)&amp;"""N"</f>
        <v>12°19'46.3"N</v>
      </c>
      <c r="P247" s="1" t="str">
        <f>INT(L247)&amp;"°"&amp;INT(MOD(L247,1)*60)&amp;"'"&amp;
ROUND(MOD(MOD(L247,1)*60,1)*60,1)&amp;"""E"</f>
        <v>108°12'58.2"E</v>
      </c>
      <c r="Q247" s="1" t="str">
        <f>O247 &amp; " " &amp; P247</f>
        <v>12°19'46.3"N 108°12'58.2"E</v>
      </c>
    </row>
    <row r="248" spans="1:17" ht="15.75" customHeight="1" x14ac:dyDescent="0.2">
      <c r="A248" s="1">
        <v>161</v>
      </c>
      <c r="B248" s="1" t="s">
        <v>615</v>
      </c>
      <c r="C248" s="1" t="s">
        <v>15</v>
      </c>
      <c r="D248" s="1" t="s">
        <v>16</v>
      </c>
      <c r="E248" s="1" t="s">
        <v>591</v>
      </c>
      <c r="F248" s="1" t="s">
        <v>592</v>
      </c>
      <c r="G248" s="1" t="s">
        <v>616</v>
      </c>
      <c r="H248" s="1" t="s">
        <v>617</v>
      </c>
      <c r="I248" s="1" t="s">
        <v>21</v>
      </c>
      <c r="J248" s="1" t="s">
        <v>22</v>
      </c>
      <c r="K248" s="2">
        <v>12.364627759999999</v>
      </c>
      <c r="L248" s="2">
        <v>107.87582313999999</v>
      </c>
      <c r="M248" s="1" t="s">
        <v>618</v>
      </c>
      <c r="N248" s="1" t="s">
        <v>369</v>
      </c>
      <c r="O248" s="1" t="str">
        <f>INT(K248)&amp;"°"&amp;INT(MOD(K248,1)*60)&amp;"'"&amp;
ROUND(MOD(MOD(K248,1)*60,1)*60,1)&amp;"""N"</f>
        <v>12°21'52.7"N</v>
      </c>
      <c r="P248" s="1" t="str">
        <f>INT(L248)&amp;"°"&amp;INT(MOD(L248,1)*60)&amp;"'"&amp;
ROUND(MOD(MOD(L248,1)*60,1)*60,1)&amp;"""E"</f>
        <v>107°52'33"E</v>
      </c>
      <c r="Q248" s="1" t="str">
        <f>O248 &amp; " " &amp; P248</f>
        <v>12°21'52.7"N 107°52'33"E</v>
      </c>
    </row>
    <row r="249" spans="1:17" ht="15.75" customHeight="1" x14ac:dyDescent="0.2">
      <c r="A249" s="1">
        <v>148</v>
      </c>
      <c r="B249" s="1" t="s">
        <v>564</v>
      </c>
      <c r="C249" s="1" t="s">
        <v>15</v>
      </c>
      <c r="D249" s="1" t="s">
        <v>16</v>
      </c>
      <c r="E249" s="1" t="s">
        <v>535</v>
      </c>
      <c r="F249" s="1" t="s">
        <v>536</v>
      </c>
      <c r="G249" s="1" t="s">
        <v>565</v>
      </c>
      <c r="H249" s="1" t="s">
        <v>566</v>
      </c>
      <c r="I249" s="1" t="s">
        <v>21</v>
      </c>
      <c r="J249" s="1" t="s">
        <v>22</v>
      </c>
      <c r="K249" s="2">
        <v>12.4687929</v>
      </c>
      <c r="L249" s="2">
        <v>108.50014962</v>
      </c>
      <c r="M249" s="1" t="s">
        <v>567</v>
      </c>
      <c r="N249" s="1" t="s">
        <v>536</v>
      </c>
      <c r="O249" s="1" t="str">
        <f>INT(K249)&amp;"°"&amp;INT(MOD(K249,1)*60)&amp;"'"&amp;
ROUND(MOD(MOD(K249,1)*60,1)*60,1)&amp;"""N"</f>
        <v>12°28'7.7"N</v>
      </c>
      <c r="P249" s="1" t="str">
        <f>INT(L249)&amp;"°"&amp;INT(MOD(L249,1)*60)&amp;"'"&amp;
ROUND(MOD(MOD(L249,1)*60,1)*60,1)&amp;"""E"</f>
        <v>108°30'0.5"E</v>
      </c>
      <c r="Q249" s="1" t="str">
        <f>O249 &amp; " " &amp; P249</f>
        <v>12°28'7.7"N 108°30'0.5"E</v>
      </c>
    </row>
    <row r="250" spans="1:17" ht="15.75" customHeight="1" x14ac:dyDescent="0.2">
      <c r="A250" s="1">
        <v>147</v>
      </c>
      <c r="B250" s="1" t="s">
        <v>560</v>
      </c>
      <c r="C250" s="1" t="s">
        <v>15</v>
      </c>
      <c r="D250" s="1" t="s">
        <v>16</v>
      </c>
      <c r="E250" s="1" t="s">
        <v>535</v>
      </c>
      <c r="F250" s="1" t="s">
        <v>536</v>
      </c>
      <c r="G250" s="1" t="s">
        <v>561</v>
      </c>
      <c r="H250" s="1" t="s">
        <v>562</v>
      </c>
      <c r="I250" s="1" t="s">
        <v>21</v>
      </c>
      <c r="J250" s="1" t="s">
        <v>22</v>
      </c>
      <c r="K250" s="2">
        <v>12.49035928</v>
      </c>
      <c r="L250" s="2">
        <v>108.04415399</v>
      </c>
      <c r="M250" s="1" t="s">
        <v>563</v>
      </c>
      <c r="N250" s="1" t="s">
        <v>536</v>
      </c>
      <c r="O250" s="1" t="str">
        <f>INT(K250)&amp;"°"&amp;INT(MOD(K250,1)*60)&amp;"'"&amp;
ROUND(MOD(MOD(K250,1)*60,1)*60,1)&amp;"""N"</f>
        <v>12°29'25.3"N</v>
      </c>
      <c r="P250" s="1" t="str">
        <f>INT(L250)&amp;"°"&amp;INT(MOD(L250,1)*60)&amp;"'"&amp;
ROUND(MOD(MOD(L250,1)*60,1)*60,1)&amp;"""E"</f>
        <v>108°2'39"E</v>
      </c>
      <c r="Q250" s="1" t="str">
        <f>O250 &amp; " " &amp; P250</f>
        <v>12°29'25.3"N 108°2'39"E</v>
      </c>
    </row>
    <row r="251" spans="1:17" ht="15.75" customHeight="1" x14ac:dyDescent="0.2">
      <c r="A251" s="1">
        <v>157</v>
      </c>
      <c r="B251" s="1" t="s">
        <v>600</v>
      </c>
      <c r="C251" s="1" t="s">
        <v>15</v>
      </c>
      <c r="D251" s="1" t="s">
        <v>16</v>
      </c>
      <c r="E251" s="1" t="s">
        <v>591</v>
      </c>
      <c r="F251" s="1" t="s">
        <v>592</v>
      </c>
      <c r="G251" s="1" t="s">
        <v>601</v>
      </c>
      <c r="H251" s="1" t="s">
        <v>602</v>
      </c>
      <c r="I251" s="1" t="s">
        <v>21</v>
      </c>
      <c r="J251" s="1" t="s">
        <v>22</v>
      </c>
      <c r="K251" s="2">
        <v>12.51652955</v>
      </c>
      <c r="L251" s="2">
        <v>107.66950349</v>
      </c>
      <c r="M251" s="1" t="s">
        <v>601</v>
      </c>
      <c r="N251" s="1" t="s">
        <v>369</v>
      </c>
      <c r="O251" s="1" t="str">
        <f>INT(K251)&amp;"°"&amp;INT(MOD(K251,1)*60)&amp;"'"&amp;
ROUND(MOD(MOD(K251,1)*60,1)*60,1)&amp;"""N"</f>
        <v>12°30'59.5"N</v>
      </c>
      <c r="P251" s="1" t="str">
        <f>INT(L251)&amp;"°"&amp;INT(MOD(L251,1)*60)&amp;"'"&amp;
ROUND(MOD(MOD(L251,1)*60,1)*60,1)&amp;"""E"</f>
        <v>107°40'10.2"E</v>
      </c>
      <c r="Q251" s="1" t="str">
        <f>O251 &amp; " " &amp; P251</f>
        <v>12°30'59.5"N 107°40'10.2"E</v>
      </c>
    </row>
    <row r="252" spans="1:17" ht="15.75" customHeight="1" x14ac:dyDescent="0.2">
      <c r="A252" s="1">
        <v>359</v>
      </c>
      <c r="B252" s="1" t="s">
        <v>1317</v>
      </c>
      <c r="C252" s="1" t="s">
        <v>15</v>
      </c>
      <c r="D252" s="1" t="s">
        <v>16</v>
      </c>
      <c r="E252" s="1" t="s">
        <v>1296</v>
      </c>
      <c r="F252" s="1" t="s">
        <v>1297</v>
      </c>
      <c r="G252" s="1" t="s">
        <v>1318</v>
      </c>
      <c r="H252" s="1" t="s">
        <v>1319</v>
      </c>
      <c r="I252" s="1" t="s">
        <v>53</v>
      </c>
      <c r="J252" s="1" t="s">
        <v>54</v>
      </c>
      <c r="K252" s="2">
        <v>12.53392244</v>
      </c>
      <c r="L252" s="2">
        <v>109.0756796</v>
      </c>
      <c r="M252" s="1" t="s">
        <v>1320</v>
      </c>
      <c r="N252" s="1" t="s">
        <v>1297</v>
      </c>
      <c r="O252" s="1" t="str">
        <f>INT(K252)&amp;"°"&amp;INT(MOD(K252,1)*60)&amp;"'"&amp;
ROUND(MOD(MOD(K252,1)*60,1)*60,1)&amp;"""N"</f>
        <v>12°32'2.1"N</v>
      </c>
      <c r="P252" s="1" t="str">
        <f>INT(L252)&amp;"°"&amp;INT(MOD(L252,1)*60)&amp;"'"&amp;
ROUND(MOD(MOD(L252,1)*60,1)*60,1)&amp;"""E"</f>
        <v>109°4'32.4"E</v>
      </c>
      <c r="Q252" s="1" t="str">
        <f>O252 &amp; " " &amp; P252</f>
        <v>12°32'2.1"N 109°4'32.4"E</v>
      </c>
    </row>
    <row r="253" spans="1:17" ht="15.75" customHeight="1" x14ac:dyDescent="0.2">
      <c r="A253" s="1">
        <v>142</v>
      </c>
      <c r="B253" s="1" t="s">
        <v>543</v>
      </c>
      <c r="C253" s="1" t="s">
        <v>15</v>
      </c>
      <c r="D253" s="1" t="s">
        <v>16</v>
      </c>
      <c r="E253" s="1" t="s">
        <v>535</v>
      </c>
      <c r="F253" s="1" t="s">
        <v>536</v>
      </c>
      <c r="G253" s="1" t="s">
        <v>544</v>
      </c>
      <c r="H253" s="1" t="s">
        <v>545</v>
      </c>
      <c r="I253" s="1" t="s">
        <v>21</v>
      </c>
      <c r="J253" s="1" t="s">
        <v>22</v>
      </c>
      <c r="K253" s="2">
        <v>12.588034240000001</v>
      </c>
      <c r="L253" s="2">
        <v>108.17808060999999</v>
      </c>
      <c r="M253" s="1" t="s">
        <v>546</v>
      </c>
      <c r="N253" s="1" t="s">
        <v>536</v>
      </c>
      <c r="O253" s="1" t="str">
        <f>INT(K253)&amp;"°"&amp;INT(MOD(K253,1)*60)&amp;"'"&amp;
ROUND(MOD(MOD(K253,1)*60,1)*60,1)&amp;"""N"</f>
        <v>12°35'16.9"N</v>
      </c>
      <c r="P253" s="1" t="str">
        <f>INT(L253)&amp;"°"&amp;INT(MOD(L253,1)*60)&amp;"'"&amp;
ROUND(MOD(MOD(L253,1)*60,1)*60,1)&amp;"""E"</f>
        <v>108°10'41.1"E</v>
      </c>
      <c r="Q253" s="1" t="str">
        <f>O253 &amp; " " &amp; P253</f>
        <v>12°35'16.9"N 108°10'41.1"E</v>
      </c>
    </row>
    <row r="254" spans="1:17" ht="15.75" customHeight="1" x14ac:dyDescent="0.2">
      <c r="A254" s="1">
        <v>141</v>
      </c>
      <c r="B254" s="1" t="s">
        <v>539</v>
      </c>
      <c r="C254" s="1" t="s">
        <v>15</v>
      </c>
      <c r="D254" s="1" t="s">
        <v>16</v>
      </c>
      <c r="E254" s="1" t="s">
        <v>535</v>
      </c>
      <c r="F254" s="1" t="s">
        <v>536</v>
      </c>
      <c r="G254" s="1" t="s">
        <v>540</v>
      </c>
      <c r="H254" s="1" t="s">
        <v>541</v>
      </c>
      <c r="I254" s="1" t="s">
        <v>27</v>
      </c>
      <c r="J254" s="1" t="s">
        <v>28</v>
      </c>
      <c r="K254" s="2">
        <v>12.65806005</v>
      </c>
      <c r="L254" s="2">
        <v>108.02926487000001</v>
      </c>
      <c r="M254" s="1" t="s">
        <v>542</v>
      </c>
      <c r="N254" s="1" t="s">
        <v>536</v>
      </c>
      <c r="O254" s="1" t="str">
        <f>INT(K254)&amp;"°"&amp;INT(MOD(K254,1)*60)&amp;"'"&amp;
ROUND(MOD(MOD(K254,1)*60,1)*60,1)&amp;"""N"</f>
        <v>12°39'29"N</v>
      </c>
      <c r="P254" s="1" t="str">
        <f>INT(L254)&amp;"°"&amp;INT(MOD(L254,1)*60)&amp;"'"&amp;
ROUND(MOD(MOD(L254,1)*60,1)*60,1)&amp;"""E"</f>
        <v>108°1'45.4"E</v>
      </c>
      <c r="Q254" s="1" t="str">
        <f>O254 &amp; " " &amp; P254</f>
        <v>12°39'29"N 108°1'45.4"E</v>
      </c>
    </row>
    <row r="255" spans="1:17" ht="15.75" customHeight="1" x14ac:dyDescent="0.2">
      <c r="A255" s="1">
        <v>151</v>
      </c>
      <c r="B255" s="1" t="s">
        <v>575</v>
      </c>
      <c r="C255" s="1" t="s">
        <v>15</v>
      </c>
      <c r="D255" s="1" t="s">
        <v>16</v>
      </c>
      <c r="E255" s="1" t="s">
        <v>535</v>
      </c>
      <c r="F255" s="1" t="s">
        <v>536</v>
      </c>
      <c r="G255" s="1" t="s">
        <v>576</v>
      </c>
      <c r="H255" s="1" t="s">
        <v>577</v>
      </c>
      <c r="I255" s="1" t="s">
        <v>21</v>
      </c>
      <c r="J255" s="1" t="s">
        <v>22</v>
      </c>
      <c r="K255" s="2">
        <v>12.68926188</v>
      </c>
      <c r="L255" s="2">
        <v>108.34493688000001</v>
      </c>
      <c r="M255" s="1" t="s">
        <v>576</v>
      </c>
      <c r="N255" s="1" t="s">
        <v>536</v>
      </c>
      <c r="O255" s="1" t="str">
        <f>INT(K255)&amp;"°"&amp;INT(MOD(K255,1)*60)&amp;"'"&amp;
ROUND(MOD(MOD(K255,1)*60,1)*60,1)&amp;"""N"</f>
        <v>12°41'21.3"N</v>
      </c>
      <c r="P255" s="1" t="str">
        <f>INT(L255)&amp;"°"&amp;INT(MOD(L255,1)*60)&amp;"'"&amp;
ROUND(MOD(MOD(L255,1)*60,1)*60,1)&amp;"""E"</f>
        <v>108°20'41.8"E</v>
      </c>
      <c r="Q255" s="1" t="str">
        <f>O255 &amp; " " &amp; P255</f>
        <v>12°41'21.3"N 108°20'41.8"E</v>
      </c>
    </row>
    <row r="256" spans="1:17" ht="15.75" customHeight="1" x14ac:dyDescent="0.2">
      <c r="A256" s="1">
        <v>155</v>
      </c>
      <c r="B256" s="1" t="s">
        <v>590</v>
      </c>
      <c r="C256" s="1" t="s">
        <v>15</v>
      </c>
      <c r="D256" s="1" t="s">
        <v>16</v>
      </c>
      <c r="E256" s="1" t="s">
        <v>591</v>
      </c>
      <c r="F256" s="1" t="s">
        <v>592</v>
      </c>
      <c r="G256" s="1" t="s">
        <v>593</v>
      </c>
      <c r="H256" s="1" t="s">
        <v>594</v>
      </c>
      <c r="I256" s="1" t="s">
        <v>21</v>
      </c>
      <c r="J256" s="1" t="s">
        <v>22</v>
      </c>
      <c r="K256" s="2">
        <v>12.692612049999999</v>
      </c>
      <c r="L256" s="2">
        <v>107.75984524</v>
      </c>
      <c r="M256" s="1" t="s">
        <v>595</v>
      </c>
      <c r="N256" s="1" t="s">
        <v>369</v>
      </c>
      <c r="O256" s="1" t="str">
        <f>INT(K256)&amp;"°"&amp;INT(MOD(K256,1)*60)&amp;"'"&amp;
ROUND(MOD(MOD(K256,1)*60,1)*60,1)&amp;"""N"</f>
        <v>12°41'33.4"N</v>
      </c>
      <c r="P256" s="1" t="str">
        <f>INT(L256)&amp;"°"&amp;INT(MOD(L256,1)*60)&amp;"'"&amp;
ROUND(MOD(MOD(L256,1)*60,1)*60,1)&amp;"""E"</f>
        <v>107°45'35.4"E</v>
      </c>
      <c r="Q256" s="1" t="str">
        <f>O256 &amp; " " &amp; P256</f>
        <v>12°41'33.4"N 107°45'35.4"E</v>
      </c>
    </row>
    <row r="257" spans="1:17" ht="15.75" customHeight="1" x14ac:dyDescent="0.2">
      <c r="A257" s="1">
        <v>153</v>
      </c>
      <c r="B257" s="1" t="s">
        <v>582</v>
      </c>
      <c r="C257" s="1" t="s">
        <v>15</v>
      </c>
      <c r="D257" s="1" t="s">
        <v>16</v>
      </c>
      <c r="E257" s="1" t="s">
        <v>535</v>
      </c>
      <c r="F257" s="1" t="s">
        <v>536</v>
      </c>
      <c r="G257" s="1" t="s">
        <v>583</v>
      </c>
      <c r="H257" s="1" t="s">
        <v>584</v>
      </c>
      <c r="I257" s="1" t="s">
        <v>21</v>
      </c>
      <c r="J257" s="1" t="s">
        <v>22</v>
      </c>
      <c r="K257" s="2">
        <v>12.71710251</v>
      </c>
      <c r="L257" s="2">
        <v>108.78614536000001</v>
      </c>
      <c r="M257" s="1" t="s">
        <v>585</v>
      </c>
      <c r="N257" s="1" t="s">
        <v>536</v>
      </c>
      <c r="O257" s="1" t="str">
        <f>INT(K257)&amp;"°"&amp;INT(MOD(K257,1)*60)&amp;"'"&amp;
ROUND(MOD(MOD(K257,1)*60,1)*60,1)&amp;"""N"</f>
        <v>12°43'1.6"N</v>
      </c>
      <c r="P257" s="1" t="str">
        <f>INT(L257)&amp;"°"&amp;INT(MOD(L257,1)*60)&amp;"'"&amp;
ROUND(MOD(MOD(L257,1)*60,1)*60,1)&amp;"""E"</f>
        <v>108°47'10.1"E</v>
      </c>
      <c r="Q257" s="1" t="str">
        <f>O257 &amp; " " &amp; P257</f>
        <v>12°43'1.6"N 108°47'10.1"E</v>
      </c>
    </row>
    <row r="258" spans="1:17" ht="15.75" customHeight="1" x14ac:dyDescent="0.2">
      <c r="A258" s="1">
        <v>360</v>
      </c>
      <c r="B258" s="1" t="s">
        <v>1321</v>
      </c>
      <c r="C258" s="1" t="s">
        <v>15</v>
      </c>
      <c r="D258" s="1" t="s">
        <v>16</v>
      </c>
      <c r="E258" s="1" t="s">
        <v>1296</v>
      </c>
      <c r="F258" s="1" t="s">
        <v>1297</v>
      </c>
      <c r="G258" s="1" t="s">
        <v>1322</v>
      </c>
      <c r="H258" s="1" t="s">
        <v>1323</v>
      </c>
      <c r="I258" s="1" t="s">
        <v>21</v>
      </c>
      <c r="J258" s="1" t="s">
        <v>22</v>
      </c>
      <c r="K258" s="2">
        <v>12.719575409999999</v>
      </c>
      <c r="L258" s="2">
        <v>109.25362242999999</v>
      </c>
      <c r="M258" s="1" t="s">
        <v>1324</v>
      </c>
      <c r="N258" s="1" t="s">
        <v>1297</v>
      </c>
      <c r="O258" s="1" t="str">
        <f>INT(K258)&amp;"°"&amp;INT(MOD(K258,1)*60)&amp;"'"&amp;
ROUND(MOD(MOD(K258,1)*60,1)*60,1)&amp;"""N"</f>
        <v>12°43'10.5"N</v>
      </c>
      <c r="P258" s="1" t="str">
        <f>INT(L258)&amp;"°"&amp;INT(MOD(L258,1)*60)&amp;"'"&amp;
ROUND(MOD(MOD(L258,1)*60,1)*60,1)&amp;"""E"</f>
        <v>109°15'13"E</v>
      </c>
      <c r="Q258" s="1" t="str">
        <f>O258 &amp; " " &amp; P258</f>
        <v>12°43'10.5"N 109°15'13"E</v>
      </c>
    </row>
    <row r="259" spans="1:17" ht="15.75" customHeight="1" x14ac:dyDescent="0.2">
      <c r="A259" s="1">
        <v>145</v>
      </c>
      <c r="B259" s="1" t="s">
        <v>553</v>
      </c>
      <c r="C259" s="1" t="s">
        <v>15</v>
      </c>
      <c r="D259" s="1" t="s">
        <v>16</v>
      </c>
      <c r="E259" s="1" t="s">
        <v>535</v>
      </c>
      <c r="F259" s="1" t="s">
        <v>536</v>
      </c>
      <c r="G259" s="1" t="s">
        <v>554</v>
      </c>
      <c r="H259" s="1" t="s">
        <v>554</v>
      </c>
      <c r="I259" s="1" t="s">
        <v>21</v>
      </c>
      <c r="J259" s="1" t="s">
        <v>22</v>
      </c>
      <c r="K259" s="2">
        <v>12.80436656</v>
      </c>
      <c r="L259" s="2">
        <v>108.5584648</v>
      </c>
      <c r="M259" s="1" t="s">
        <v>555</v>
      </c>
      <c r="N259" s="1" t="s">
        <v>536</v>
      </c>
      <c r="O259" s="1" t="str">
        <f>INT(K259)&amp;"°"&amp;INT(MOD(K259,1)*60)&amp;"'"&amp;
ROUND(MOD(MOD(K259,1)*60,1)*60,1)&amp;"""N"</f>
        <v>12°48'15.7"N</v>
      </c>
      <c r="P259" s="1" t="str">
        <f>INT(L259)&amp;"°"&amp;INT(MOD(L259,1)*60)&amp;"'"&amp;
ROUND(MOD(MOD(L259,1)*60,1)*60,1)&amp;"""E"</f>
        <v>108°33'30.5"E</v>
      </c>
      <c r="Q259" s="1" t="str">
        <f>O259 &amp; " " &amp; P259</f>
        <v>12°48'15.7"N 108°33'30.5"E</v>
      </c>
    </row>
    <row r="260" spans="1:17" ht="15.75" customHeight="1" x14ac:dyDescent="0.2">
      <c r="A260" s="1">
        <v>154</v>
      </c>
      <c r="B260" s="1" t="s">
        <v>586</v>
      </c>
      <c r="C260" s="1" t="s">
        <v>15</v>
      </c>
      <c r="D260" s="1" t="s">
        <v>16</v>
      </c>
      <c r="E260" s="1" t="s">
        <v>535</v>
      </c>
      <c r="F260" s="1" t="s">
        <v>536</v>
      </c>
      <c r="G260" s="1" t="s">
        <v>587</v>
      </c>
      <c r="H260" s="1" t="s">
        <v>588</v>
      </c>
      <c r="I260" s="1" t="s">
        <v>53</v>
      </c>
      <c r="J260" s="1" t="s">
        <v>54</v>
      </c>
      <c r="K260" s="2">
        <v>12.84911396</v>
      </c>
      <c r="L260" s="2">
        <v>108.27939155999999</v>
      </c>
      <c r="M260" s="1" t="s">
        <v>589</v>
      </c>
      <c r="N260" s="1" t="s">
        <v>536</v>
      </c>
      <c r="O260" s="1" t="str">
        <f>INT(K260)&amp;"°"&amp;INT(MOD(K260,1)*60)&amp;"'"&amp;
ROUND(MOD(MOD(K260,1)*60,1)*60,1)&amp;"""N"</f>
        <v>12°50'56.8"N</v>
      </c>
      <c r="P260" s="1" t="str">
        <f>INT(L260)&amp;"°"&amp;INT(MOD(L260,1)*60)&amp;"'"&amp;
ROUND(MOD(MOD(L260,1)*60,1)*60,1)&amp;"""E"</f>
        <v>108°16'45.8"E</v>
      </c>
      <c r="Q260" s="1" t="str">
        <f>O260 &amp; " " &amp; P260</f>
        <v>12°50'56.8"N 108°16'45.8"E</v>
      </c>
    </row>
    <row r="261" spans="1:17" ht="15.75" customHeight="1" x14ac:dyDescent="0.2">
      <c r="A261" s="1">
        <v>143</v>
      </c>
      <c r="B261" s="1" t="s">
        <v>547</v>
      </c>
      <c r="C261" s="1" t="s">
        <v>15</v>
      </c>
      <c r="D261" s="1" t="s">
        <v>16</v>
      </c>
      <c r="E261" s="1" t="s">
        <v>535</v>
      </c>
      <c r="F261" s="1" t="s">
        <v>536</v>
      </c>
      <c r="G261" s="1" t="s">
        <v>548</v>
      </c>
      <c r="H261" s="1" t="s">
        <v>549</v>
      </c>
      <c r="I261" s="1" t="s">
        <v>21</v>
      </c>
      <c r="J261" s="1" t="s">
        <v>22</v>
      </c>
      <c r="K261" s="2">
        <v>12.885131469999999</v>
      </c>
      <c r="L261" s="2">
        <v>108.07291804</v>
      </c>
      <c r="M261" s="1" t="s">
        <v>548</v>
      </c>
      <c r="N261" s="1" t="s">
        <v>536</v>
      </c>
      <c r="O261" s="1" t="str">
        <f>INT(K261)&amp;"°"&amp;INT(MOD(K261,1)*60)&amp;"'"&amp;
ROUND(MOD(MOD(K261,1)*60,1)*60,1)&amp;"""N"</f>
        <v>12°53'6.5"N</v>
      </c>
      <c r="P261" s="1" t="str">
        <f>INT(L261)&amp;"°"&amp;INT(MOD(L261,1)*60)&amp;"'"&amp;
ROUND(MOD(MOD(L261,1)*60,1)*60,1)&amp;"""E"</f>
        <v>108°4'22.5"E</v>
      </c>
      <c r="Q261" s="1" t="str">
        <f>O261 &amp; " " &amp; P261</f>
        <v>12°53'6.5"N 108°4'22.5"E</v>
      </c>
    </row>
    <row r="262" spans="1:17" ht="15.75" customHeight="1" x14ac:dyDescent="0.2">
      <c r="A262" s="1">
        <v>140</v>
      </c>
      <c r="B262" s="1" t="s">
        <v>534</v>
      </c>
      <c r="C262" s="1" t="s">
        <v>15</v>
      </c>
      <c r="D262" s="1" t="s">
        <v>16</v>
      </c>
      <c r="E262" s="1" t="s">
        <v>535</v>
      </c>
      <c r="F262" s="1" t="s">
        <v>536</v>
      </c>
      <c r="G262" s="1" t="s">
        <v>537</v>
      </c>
      <c r="H262" s="1" t="s">
        <v>538</v>
      </c>
      <c r="I262" s="1" t="s">
        <v>21</v>
      </c>
      <c r="J262" s="1" t="s">
        <v>22</v>
      </c>
      <c r="K262" s="2">
        <v>12.90192895</v>
      </c>
      <c r="L262" s="2">
        <v>107.72894891</v>
      </c>
      <c r="M262" s="1" t="s">
        <v>537</v>
      </c>
      <c r="N262" s="1" t="s">
        <v>536</v>
      </c>
      <c r="O262" s="1" t="str">
        <f>INT(K262)&amp;"°"&amp;INT(MOD(K262,1)*60)&amp;"'"&amp;
ROUND(MOD(MOD(K262,1)*60,1)*60,1)&amp;"""N"</f>
        <v>12°54'6.9"N</v>
      </c>
      <c r="P262" s="1" t="str">
        <f>INT(L262)&amp;"°"&amp;INT(MOD(L262,1)*60)&amp;"'"&amp;
ROUND(MOD(MOD(L262,1)*60,1)*60,1)&amp;"""E"</f>
        <v>107°43'44.2"E</v>
      </c>
      <c r="Q262" s="1" t="str">
        <f>O262 &amp; " " &amp; P262</f>
        <v>12°54'6.9"N 107°43'44.2"E</v>
      </c>
    </row>
    <row r="263" spans="1:17" ht="15.75" customHeight="1" x14ac:dyDescent="0.2">
      <c r="A263" s="1">
        <v>506</v>
      </c>
      <c r="B263" s="1" t="s">
        <v>1838</v>
      </c>
      <c r="C263" s="1" t="s">
        <v>15</v>
      </c>
      <c r="D263" s="1" t="s">
        <v>16</v>
      </c>
      <c r="E263" s="1" t="s">
        <v>1814</v>
      </c>
      <c r="F263" s="1" t="s">
        <v>1815</v>
      </c>
      <c r="G263" s="1" t="s">
        <v>1839</v>
      </c>
      <c r="H263" s="1" t="s">
        <v>1840</v>
      </c>
      <c r="I263" s="1" t="s">
        <v>21</v>
      </c>
      <c r="J263" s="1" t="s">
        <v>22</v>
      </c>
      <c r="K263" s="2">
        <v>12.917688910000001</v>
      </c>
      <c r="L263" s="2">
        <v>109.16565288</v>
      </c>
      <c r="M263" s="1" t="s">
        <v>1841</v>
      </c>
      <c r="N263" s="1" t="s">
        <v>536</v>
      </c>
      <c r="O263" s="1" t="str">
        <f>INT(K263)&amp;"°"&amp;INT(MOD(K263,1)*60)&amp;"'"&amp;
ROUND(MOD(MOD(K263,1)*60,1)*60,1)&amp;"""N"</f>
        <v>12°55'3.7"N</v>
      </c>
      <c r="P263" s="1" t="str">
        <f>INT(L263)&amp;"°"&amp;INT(MOD(L263,1)*60)&amp;"'"&amp;
ROUND(MOD(MOD(L263,1)*60,1)*60,1)&amp;"""E"</f>
        <v>109°9'56.4"E</v>
      </c>
      <c r="Q263" s="1" t="str">
        <f>O263 &amp; " " &amp; P263</f>
        <v>12°55'3.7"N 109°9'56.4"E</v>
      </c>
    </row>
    <row r="264" spans="1:17" ht="15.75" customHeight="1" x14ac:dyDescent="0.2">
      <c r="A264" s="1">
        <v>505</v>
      </c>
      <c r="B264" s="1" t="s">
        <v>1835</v>
      </c>
      <c r="C264" s="1" t="s">
        <v>15</v>
      </c>
      <c r="D264" s="1" t="s">
        <v>16</v>
      </c>
      <c r="E264" s="1" t="s">
        <v>1814</v>
      </c>
      <c r="F264" s="1" t="s">
        <v>1815</v>
      </c>
      <c r="G264" s="1" t="s">
        <v>1836</v>
      </c>
      <c r="H264" s="1" t="s">
        <v>1837</v>
      </c>
      <c r="I264" s="1" t="s">
        <v>21</v>
      </c>
      <c r="J264" s="1" t="s">
        <v>22</v>
      </c>
      <c r="K264" s="2">
        <v>12.922343359999999</v>
      </c>
      <c r="L264" s="2">
        <v>108.90865282999999</v>
      </c>
      <c r="M264" s="1" t="s">
        <v>1836</v>
      </c>
      <c r="N264" s="1" t="s">
        <v>536</v>
      </c>
      <c r="O264" s="1" t="str">
        <f>INT(K264)&amp;"°"&amp;INT(MOD(K264,1)*60)&amp;"'"&amp;
ROUND(MOD(MOD(K264,1)*60,1)*60,1)&amp;"""N"</f>
        <v>12°55'20.4"N</v>
      </c>
      <c r="P264" s="1" t="str">
        <f>INT(L264)&amp;"°"&amp;INT(MOD(L264,1)*60)&amp;"'"&amp;
ROUND(MOD(MOD(L264,1)*60,1)*60,1)&amp;"""E"</f>
        <v>108°54'31.2"E</v>
      </c>
      <c r="Q264" s="1" t="str">
        <f>O264 &amp; " " &amp; P264</f>
        <v>12°55'20.4"N 108°54'31.2"E</v>
      </c>
    </row>
    <row r="265" spans="1:17" ht="15.75" customHeight="1" x14ac:dyDescent="0.2">
      <c r="A265" s="1">
        <v>500</v>
      </c>
      <c r="B265" s="1" t="s">
        <v>1813</v>
      </c>
      <c r="C265" s="1" t="s">
        <v>15</v>
      </c>
      <c r="D265" s="1" t="s">
        <v>16</v>
      </c>
      <c r="E265" s="1" t="s">
        <v>1814</v>
      </c>
      <c r="F265" s="1" t="s">
        <v>1815</v>
      </c>
      <c r="G265" s="1" t="s">
        <v>1816</v>
      </c>
      <c r="H265" s="1" t="s">
        <v>1817</v>
      </c>
      <c r="I265" s="1" t="s">
        <v>21</v>
      </c>
      <c r="J265" s="1" t="s">
        <v>22</v>
      </c>
      <c r="K265" s="2">
        <v>12.942657609999999</v>
      </c>
      <c r="L265" s="2">
        <v>109.35818245999999</v>
      </c>
      <c r="M265" s="1" t="s">
        <v>1818</v>
      </c>
      <c r="N265" s="1" t="s">
        <v>536</v>
      </c>
      <c r="O265" s="1" t="str">
        <f>INT(K265)&amp;"°"&amp;INT(MOD(K265,1)*60)&amp;"'"&amp;
ROUND(MOD(MOD(K265,1)*60,1)*60,1)&amp;"""N"</f>
        <v>12°56'33.6"N</v>
      </c>
      <c r="P265" s="1" t="str">
        <f>INT(L265)&amp;"°"&amp;INT(MOD(L265,1)*60)&amp;"'"&amp;
ROUND(MOD(MOD(L265,1)*60,1)*60,1)&amp;"""E"</f>
        <v>109°21'29.5"E</v>
      </c>
      <c r="Q265" s="1" t="str">
        <f>O265 &amp; " " &amp; P265</f>
        <v>12°56'33.6"N 109°21'29.5"E</v>
      </c>
    </row>
    <row r="266" spans="1:17" ht="15.75" customHeight="1" x14ac:dyDescent="0.2">
      <c r="A266" s="1">
        <v>150</v>
      </c>
      <c r="B266" s="1" t="s">
        <v>571</v>
      </c>
      <c r="C266" s="1" t="s">
        <v>15</v>
      </c>
      <c r="D266" s="1" t="s">
        <v>16</v>
      </c>
      <c r="E266" s="1" t="s">
        <v>535</v>
      </c>
      <c r="F266" s="1" t="s">
        <v>536</v>
      </c>
      <c r="G266" s="1" t="s">
        <v>572</v>
      </c>
      <c r="H266" s="1" t="s">
        <v>573</v>
      </c>
      <c r="I266" s="1" t="s">
        <v>21</v>
      </c>
      <c r="J266" s="1" t="s">
        <v>22</v>
      </c>
      <c r="K266" s="2">
        <v>13.016774809999999</v>
      </c>
      <c r="L266" s="2">
        <v>108.39350281999999</v>
      </c>
      <c r="M266" s="1" t="s">
        <v>574</v>
      </c>
      <c r="N266" s="1" t="s">
        <v>536</v>
      </c>
      <c r="O266" s="1" t="str">
        <f>INT(K266)&amp;"°"&amp;INT(MOD(K266,1)*60)&amp;"'"&amp;
ROUND(MOD(MOD(K266,1)*60,1)*60,1)&amp;"""N"</f>
        <v>13°1'0.4"N</v>
      </c>
      <c r="P266" s="1" t="str">
        <f>INT(L266)&amp;"°"&amp;INT(MOD(L266,1)*60)&amp;"'"&amp;
ROUND(MOD(MOD(L266,1)*60,1)*60,1)&amp;"""E"</f>
        <v>108°23'36.6"E</v>
      </c>
      <c r="Q266" s="1" t="str">
        <f>O266 &amp; " " &amp; P266</f>
        <v>13°1'0.4"N 108°23'36.6"E</v>
      </c>
    </row>
    <row r="267" spans="1:17" ht="15.75" customHeight="1" x14ac:dyDescent="0.2">
      <c r="A267" s="1">
        <v>149</v>
      </c>
      <c r="B267" s="1" t="s">
        <v>568</v>
      </c>
      <c r="C267" s="1" t="s">
        <v>15</v>
      </c>
      <c r="D267" s="1" t="s">
        <v>16</v>
      </c>
      <c r="E267" s="1" t="s">
        <v>535</v>
      </c>
      <c r="F267" s="1" t="s">
        <v>536</v>
      </c>
      <c r="G267" s="1" t="s">
        <v>569</v>
      </c>
      <c r="H267" s="1" t="s">
        <v>570</v>
      </c>
      <c r="I267" s="1" t="s">
        <v>21</v>
      </c>
      <c r="J267" s="1" t="s">
        <v>22</v>
      </c>
      <c r="K267" s="2">
        <v>13.027496360000001</v>
      </c>
      <c r="L267" s="2">
        <v>108.20425013000001</v>
      </c>
      <c r="M267" s="1" t="s">
        <v>569</v>
      </c>
      <c r="N267" s="1" t="s">
        <v>536</v>
      </c>
      <c r="O267" s="1" t="str">
        <f>INT(K267)&amp;"°"&amp;INT(MOD(K267,1)*60)&amp;"'"&amp;
ROUND(MOD(MOD(K267,1)*60,1)*60,1)&amp;"""N"</f>
        <v>13°1'39"N</v>
      </c>
      <c r="P267" s="1" t="str">
        <f>INT(L267)&amp;"°"&amp;INT(MOD(L267,1)*60)&amp;"'"&amp;
ROUND(MOD(MOD(L267,1)*60,1)*60,1)&amp;"""E"</f>
        <v>108°12'15.3"E</v>
      </c>
      <c r="Q267" s="1" t="str">
        <f>O267 &amp; " " &amp; P267</f>
        <v>13°1'39"N 108°12'15.3"E</v>
      </c>
    </row>
    <row r="268" spans="1:17" ht="15.75" customHeight="1" x14ac:dyDescent="0.2">
      <c r="A268" s="1">
        <v>502</v>
      </c>
      <c r="B268" s="1" t="s">
        <v>1823</v>
      </c>
      <c r="C268" s="1" t="s">
        <v>15</v>
      </c>
      <c r="D268" s="1" t="s">
        <v>16</v>
      </c>
      <c r="E268" s="1" t="s">
        <v>1814</v>
      </c>
      <c r="F268" s="1" t="s">
        <v>1815</v>
      </c>
      <c r="G268" s="1" t="s">
        <v>1824</v>
      </c>
      <c r="H268" s="1" t="s">
        <v>1825</v>
      </c>
      <c r="I268" s="1" t="s">
        <v>21</v>
      </c>
      <c r="J268" s="1" t="s">
        <v>22</v>
      </c>
      <c r="K268" s="2">
        <v>13.06829626</v>
      </c>
      <c r="L268" s="2">
        <v>109.17949233</v>
      </c>
      <c r="M268" s="1" t="s">
        <v>1826</v>
      </c>
      <c r="N268" s="1" t="s">
        <v>536</v>
      </c>
      <c r="O268" s="1" t="str">
        <f>INT(K268)&amp;"°"&amp;INT(MOD(K268,1)*60)&amp;"'"&amp;
ROUND(MOD(MOD(K268,1)*60,1)*60,1)&amp;"""N"</f>
        <v>13°4'5.9"N</v>
      </c>
      <c r="P268" s="1" t="str">
        <f>INT(L268)&amp;"°"&amp;INT(MOD(L268,1)*60)&amp;"'"&amp;
ROUND(MOD(MOD(L268,1)*60,1)*60,1)&amp;"""E"</f>
        <v>109°10'46.2"E</v>
      </c>
      <c r="Q268" s="1" t="str">
        <f>O268 &amp; " " &amp; P268</f>
        <v>13°4'5.9"N 109°10'46.2"E</v>
      </c>
    </row>
    <row r="269" spans="1:17" ht="15.75" customHeight="1" x14ac:dyDescent="0.2">
      <c r="A269" s="1">
        <v>508</v>
      </c>
      <c r="B269" s="1" t="s">
        <v>1845</v>
      </c>
      <c r="C269" s="1" t="s">
        <v>15</v>
      </c>
      <c r="D269" s="1" t="s">
        <v>16</v>
      </c>
      <c r="E269" s="1" t="s">
        <v>1814</v>
      </c>
      <c r="F269" s="1" t="s">
        <v>1815</v>
      </c>
      <c r="G269" s="1" t="s">
        <v>1846</v>
      </c>
      <c r="H269" s="1" t="s">
        <v>1847</v>
      </c>
      <c r="I269" s="1" t="s">
        <v>27</v>
      </c>
      <c r="J269" s="1" t="s">
        <v>28</v>
      </c>
      <c r="K269" s="2">
        <v>13.11340448</v>
      </c>
      <c r="L269" s="2">
        <v>109.27391176</v>
      </c>
      <c r="M269" s="1" t="s">
        <v>1848</v>
      </c>
      <c r="N269" s="1" t="s">
        <v>536</v>
      </c>
      <c r="O269" s="1" t="str">
        <f>INT(K269)&amp;"°"&amp;INT(MOD(K269,1)*60)&amp;"'"&amp;
ROUND(MOD(MOD(K269,1)*60,1)*60,1)&amp;"""N"</f>
        <v>13°6'48.3"N</v>
      </c>
      <c r="P269" s="1" t="str">
        <f>INT(L269)&amp;"°"&amp;INT(MOD(L269,1)*60)&amp;"'"&amp;
ROUND(MOD(MOD(L269,1)*60,1)*60,1)&amp;"""E"</f>
        <v>109°16'26.1"E</v>
      </c>
      <c r="Q269" s="1" t="str">
        <f>O269 &amp; " " &amp; P269</f>
        <v>13°6'48.3"N 109°16'26.1"E</v>
      </c>
    </row>
    <row r="270" spans="1:17" ht="15.75" customHeight="1" x14ac:dyDescent="0.2">
      <c r="A270" s="1">
        <v>503</v>
      </c>
      <c r="B270" s="1" t="s">
        <v>1827</v>
      </c>
      <c r="C270" s="1" t="s">
        <v>15</v>
      </c>
      <c r="D270" s="1" t="s">
        <v>16</v>
      </c>
      <c r="E270" s="1" t="s">
        <v>1814</v>
      </c>
      <c r="F270" s="1" t="s">
        <v>1815</v>
      </c>
      <c r="G270" s="1" t="s">
        <v>1828</v>
      </c>
      <c r="H270" s="1" t="s">
        <v>1829</v>
      </c>
      <c r="I270" s="1" t="s">
        <v>21</v>
      </c>
      <c r="J270" s="1" t="s">
        <v>22</v>
      </c>
      <c r="K270" s="2">
        <v>13.171183600000001</v>
      </c>
      <c r="L270" s="2">
        <v>108.95489554</v>
      </c>
      <c r="M270" s="1" t="s">
        <v>1830</v>
      </c>
      <c r="N270" s="1" t="s">
        <v>536</v>
      </c>
      <c r="O270" s="1" t="str">
        <f>INT(K270)&amp;"°"&amp;INT(MOD(K270,1)*60)&amp;"'"&amp;
ROUND(MOD(MOD(K270,1)*60,1)*60,1)&amp;"""N"</f>
        <v>13°10'16.3"N</v>
      </c>
      <c r="P270" s="1" t="str">
        <f>INT(L270)&amp;"°"&amp;INT(MOD(L270,1)*60)&amp;"'"&amp;
ROUND(MOD(MOD(L270,1)*60,1)*60,1)&amp;"""E"</f>
        <v>108°57'17.6"E</v>
      </c>
      <c r="Q270" s="1" t="str">
        <f>O270 &amp; " " &amp; P270</f>
        <v>13°10'16.3"N 108°57'17.6"E</v>
      </c>
    </row>
    <row r="271" spans="1:17" ht="15.75" customHeight="1" x14ac:dyDescent="0.2">
      <c r="A271" s="1">
        <v>146</v>
      </c>
      <c r="B271" s="1" t="s">
        <v>556</v>
      </c>
      <c r="C271" s="1" t="s">
        <v>15</v>
      </c>
      <c r="D271" s="1" t="s">
        <v>16</v>
      </c>
      <c r="E271" s="1" t="s">
        <v>535</v>
      </c>
      <c r="F271" s="1" t="s">
        <v>536</v>
      </c>
      <c r="G271" s="1" t="s">
        <v>557</v>
      </c>
      <c r="H271" s="1" t="s">
        <v>558</v>
      </c>
      <c r="I271" s="1" t="s">
        <v>21</v>
      </c>
      <c r="J271" s="1" t="s">
        <v>22</v>
      </c>
      <c r="K271" s="2">
        <v>13.187860560000001</v>
      </c>
      <c r="L271" s="2">
        <v>107.79762569</v>
      </c>
      <c r="M271" s="1" t="s">
        <v>559</v>
      </c>
      <c r="N271" s="1" t="s">
        <v>536</v>
      </c>
      <c r="O271" s="1" t="str">
        <f>INT(K271)&amp;"°"&amp;INT(MOD(K271,1)*60)&amp;"'"&amp;
ROUND(MOD(MOD(K271,1)*60,1)*60,1)&amp;"""N"</f>
        <v>13°11'16.3"N</v>
      </c>
      <c r="P271" s="1" t="str">
        <f>INT(L271)&amp;"°"&amp;INT(MOD(L271,1)*60)&amp;"'"&amp;
ROUND(MOD(MOD(L271,1)*60,1)*60,1)&amp;"""E"</f>
        <v>107°47'51.5"E</v>
      </c>
      <c r="Q271" s="1" t="str">
        <f>O271 &amp; " " &amp; P271</f>
        <v>13°11'16.3"N 107°47'51.5"E</v>
      </c>
    </row>
    <row r="272" spans="1:17" ht="15.75" customHeight="1" x14ac:dyDescent="0.2">
      <c r="A272" s="1">
        <v>209</v>
      </c>
      <c r="B272" s="1" t="s">
        <v>786</v>
      </c>
      <c r="C272" s="1" t="s">
        <v>15</v>
      </c>
      <c r="D272" s="1" t="s">
        <v>16</v>
      </c>
      <c r="E272" s="1" t="s">
        <v>740</v>
      </c>
      <c r="F272" s="1" t="s">
        <v>255</v>
      </c>
      <c r="G272" s="1" t="s">
        <v>787</v>
      </c>
      <c r="H272" s="1" t="s">
        <v>788</v>
      </c>
      <c r="I272" s="1" t="s">
        <v>21</v>
      </c>
      <c r="J272" s="1" t="s">
        <v>22</v>
      </c>
      <c r="K272" s="2">
        <v>13.233227230000001</v>
      </c>
      <c r="L272" s="2">
        <v>108.65641565</v>
      </c>
      <c r="M272" s="1" t="s">
        <v>789</v>
      </c>
      <c r="N272" s="1" t="s">
        <v>255</v>
      </c>
      <c r="O272" s="1" t="str">
        <f>INT(K272)&amp;"°"&amp;INT(MOD(K272,1)*60)&amp;"'"&amp;
ROUND(MOD(MOD(K272,1)*60,1)*60,1)&amp;"""N"</f>
        <v>13°13'59.6"N</v>
      </c>
      <c r="P272" s="1" t="str">
        <f>INT(L272)&amp;"°"&amp;INT(MOD(L272,1)*60)&amp;"'"&amp;
ROUND(MOD(MOD(L272,1)*60,1)*60,1)&amp;"""E"</f>
        <v>108°39'23.1"E</v>
      </c>
      <c r="Q272" s="1" t="str">
        <f>O272 &amp; " " &amp; P272</f>
        <v>13°13'59.6"N 108°39'23.1"E</v>
      </c>
    </row>
    <row r="273" spans="1:17" ht="15.75" customHeight="1" x14ac:dyDescent="0.2">
      <c r="A273" s="1">
        <v>144</v>
      </c>
      <c r="B273" s="1" t="s">
        <v>550</v>
      </c>
      <c r="C273" s="1" t="s">
        <v>15</v>
      </c>
      <c r="D273" s="1" t="s">
        <v>16</v>
      </c>
      <c r="E273" s="1" t="s">
        <v>535</v>
      </c>
      <c r="F273" s="1" t="s">
        <v>536</v>
      </c>
      <c r="G273" s="1" t="s">
        <v>551</v>
      </c>
      <c r="H273" s="1" t="s">
        <v>551</v>
      </c>
      <c r="I273" s="1" t="s">
        <v>21</v>
      </c>
      <c r="J273" s="1" t="s">
        <v>22</v>
      </c>
      <c r="K273" s="2">
        <v>13.24114329</v>
      </c>
      <c r="L273" s="2">
        <v>108.17545208999999</v>
      </c>
      <c r="M273" s="1" t="s">
        <v>552</v>
      </c>
      <c r="N273" s="1" t="s">
        <v>536</v>
      </c>
      <c r="O273" s="1" t="str">
        <f>INT(K273)&amp;"°"&amp;INT(MOD(K273,1)*60)&amp;"'"&amp;
ROUND(MOD(MOD(K273,1)*60,1)*60,1)&amp;"""N"</f>
        <v>13°14'28.1"N</v>
      </c>
      <c r="P273" s="1" t="str">
        <f>INT(L273)&amp;"°"&amp;INT(MOD(L273,1)*60)&amp;"'"&amp;
ROUND(MOD(MOD(L273,1)*60,1)*60,1)&amp;"""E"</f>
        <v>108°10'31.6"E</v>
      </c>
      <c r="Q273" s="1" t="str">
        <f>O273 &amp; " " &amp; P273</f>
        <v>13°14'28.1"N 108°10'31.6"E</v>
      </c>
    </row>
    <row r="274" spans="1:17" ht="15.75" customHeight="1" x14ac:dyDescent="0.2">
      <c r="A274" s="1">
        <v>507</v>
      </c>
      <c r="B274" s="1" t="s">
        <v>1842</v>
      </c>
      <c r="C274" s="1" t="s">
        <v>15</v>
      </c>
      <c r="D274" s="1" t="s">
        <v>16</v>
      </c>
      <c r="E274" s="1" t="s">
        <v>1814</v>
      </c>
      <c r="F274" s="1" t="s">
        <v>1815</v>
      </c>
      <c r="G274" s="1" t="s">
        <v>1843</v>
      </c>
      <c r="H274" s="1" t="s">
        <v>1843</v>
      </c>
      <c r="I274" s="1" t="s">
        <v>21</v>
      </c>
      <c r="J274" s="1" t="s">
        <v>22</v>
      </c>
      <c r="K274" s="2">
        <v>13.25762596</v>
      </c>
      <c r="L274" s="2">
        <v>109.21016831</v>
      </c>
      <c r="M274" s="1" t="s">
        <v>1844</v>
      </c>
      <c r="N274" s="1" t="s">
        <v>536</v>
      </c>
      <c r="O274" s="1" t="str">
        <f>INT(K274)&amp;"°"&amp;INT(MOD(K274,1)*60)&amp;"'"&amp;
ROUND(MOD(MOD(K274,1)*60,1)*60,1)&amp;"""N"</f>
        <v>13°15'27.5"N</v>
      </c>
      <c r="P274" s="1" t="str">
        <f>INT(L274)&amp;"°"&amp;INT(MOD(L274,1)*60)&amp;"'"&amp;
ROUND(MOD(MOD(L274,1)*60,1)*60,1)&amp;"""E"</f>
        <v>109°12'36.6"E</v>
      </c>
      <c r="Q274" s="1" t="str">
        <f>O274 &amp; " " &amp; P274</f>
        <v>13°15'27.5"N 109°12'36.6"E</v>
      </c>
    </row>
    <row r="275" spans="1:17" ht="15.75" customHeight="1" x14ac:dyDescent="0.2">
      <c r="A275" s="1">
        <v>197</v>
      </c>
      <c r="B275" s="1" t="s">
        <v>743</v>
      </c>
      <c r="C275" s="1" t="s">
        <v>15</v>
      </c>
      <c r="D275" s="1" t="s">
        <v>16</v>
      </c>
      <c r="E275" s="1" t="s">
        <v>740</v>
      </c>
      <c r="F275" s="1" t="s">
        <v>255</v>
      </c>
      <c r="G275" s="1" t="s">
        <v>744</v>
      </c>
      <c r="H275" s="1" t="s">
        <v>744</v>
      </c>
      <c r="I275" s="1" t="s">
        <v>53</v>
      </c>
      <c r="J275" s="1" t="s">
        <v>54</v>
      </c>
      <c r="K275" s="2">
        <v>13.331261400000001</v>
      </c>
      <c r="L275" s="2">
        <v>108.415356</v>
      </c>
      <c r="M275" s="1" t="s">
        <v>745</v>
      </c>
      <c r="N275" s="1" t="s">
        <v>255</v>
      </c>
      <c r="O275" s="1" t="str">
        <f>INT(K275)&amp;"°"&amp;INT(MOD(K275,1)*60)&amp;"'"&amp;
ROUND(MOD(MOD(K275,1)*60,1)*60,1)&amp;"""N"</f>
        <v>13°19'52.5"N</v>
      </c>
      <c r="P275" s="1" t="str">
        <f>INT(L275)&amp;"°"&amp;INT(MOD(L275,1)*60)&amp;"'"&amp;
ROUND(MOD(MOD(L275,1)*60,1)*60,1)&amp;"""E"</f>
        <v>108°24'55.3"E</v>
      </c>
      <c r="Q275" s="1" t="str">
        <f>O275 &amp; " " &amp; P275</f>
        <v>13°19'52.5"N 108°24'55.3"E</v>
      </c>
    </row>
    <row r="276" spans="1:17" ht="15.75" customHeight="1" x14ac:dyDescent="0.2">
      <c r="A276" s="1">
        <v>501</v>
      </c>
      <c r="B276" s="1" t="s">
        <v>1819</v>
      </c>
      <c r="C276" s="1" t="s">
        <v>15</v>
      </c>
      <c r="D276" s="1" t="s">
        <v>16</v>
      </c>
      <c r="E276" s="1" t="s">
        <v>1814</v>
      </c>
      <c r="F276" s="1" t="s">
        <v>1815</v>
      </c>
      <c r="G276" s="1" t="s">
        <v>1820</v>
      </c>
      <c r="H276" s="1" t="s">
        <v>1821</v>
      </c>
      <c r="I276" s="1" t="s">
        <v>21</v>
      </c>
      <c r="J276" s="1" t="s">
        <v>22</v>
      </c>
      <c r="K276" s="2">
        <v>13.43032195</v>
      </c>
      <c r="L276" s="2">
        <v>108.9672599</v>
      </c>
      <c r="M276" s="1" t="s">
        <v>1822</v>
      </c>
      <c r="N276" s="1" t="s">
        <v>536</v>
      </c>
      <c r="O276" s="1" t="str">
        <f>INT(K276)&amp;"°"&amp;INT(MOD(K276,1)*60)&amp;"'"&amp;
ROUND(MOD(MOD(K276,1)*60,1)*60,1)&amp;"""N"</f>
        <v>13°25'49.2"N</v>
      </c>
      <c r="P276" s="1" t="str">
        <f>INT(L276)&amp;"°"&amp;INT(MOD(L276,1)*60)&amp;"'"&amp;
ROUND(MOD(MOD(L276,1)*60,1)*60,1)&amp;"""E"</f>
        <v>108°58'2.1"E</v>
      </c>
      <c r="Q276" s="1" t="str">
        <f>O276 &amp; " " &amp; P276</f>
        <v>13°25'49.2"N 108°58'2.1"E</v>
      </c>
    </row>
    <row r="277" spans="1:17" ht="15.75" customHeight="1" x14ac:dyDescent="0.2">
      <c r="A277" s="1">
        <v>211</v>
      </c>
      <c r="B277" s="1" t="s">
        <v>793</v>
      </c>
      <c r="C277" s="1" t="s">
        <v>15</v>
      </c>
      <c r="D277" s="1" t="s">
        <v>16</v>
      </c>
      <c r="E277" s="1" t="s">
        <v>740</v>
      </c>
      <c r="F277" s="1" t="s">
        <v>255</v>
      </c>
      <c r="G277" s="1" t="s">
        <v>794</v>
      </c>
      <c r="H277" s="1" t="s">
        <v>795</v>
      </c>
      <c r="I277" s="1" t="s">
        <v>21</v>
      </c>
      <c r="J277" s="1" t="s">
        <v>22</v>
      </c>
      <c r="K277" s="2">
        <v>13.495244850000001</v>
      </c>
      <c r="L277" s="2">
        <v>108.31258757000001</v>
      </c>
      <c r="M277" s="1" t="s">
        <v>794</v>
      </c>
      <c r="N277" s="1" t="s">
        <v>255</v>
      </c>
      <c r="O277" s="1" t="str">
        <f>INT(K277)&amp;"°"&amp;INT(MOD(K277,1)*60)&amp;"'"&amp;
ROUND(MOD(MOD(K277,1)*60,1)*60,1)&amp;"""N"</f>
        <v>13°29'42.9"N</v>
      </c>
      <c r="P277" s="1" t="str">
        <f>INT(L277)&amp;"°"&amp;INT(MOD(L277,1)*60)&amp;"'"&amp;
ROUND(MOD(MOD(L277,1)*60,1)*60,1)&amp;"""E"</f>
        <v>108°18'45.3"E</v>
      </c>
      <c r="Q277" s="1" t="str">
        <f>O277 &amp; " " &amp; P277</f>
        <v>13°29'42.9"N 108°18'45.3"E</v>
      </c>
    </row>
    <row r="278" spans="1:17" ht="15.75" customHeight="1" x14ac:dyDescent="0.2">
      <c r="A278" s="1">
        <v>200</v>
      </c>
      <c r="B278" s="1" t="s">
        <v>754</v>
      </c>
      <c r="C278" s="1" t="s">
        <v>15</v>
      </c>
      <c r="D278" s="1" t="s">
        <v>16</v>
      </c>
      <c r="E278" s="1" t="s">
        <v>740</v>
      </c>
      <c r="F278" s="1" t="s">
        <v>255</v>
      </c>
      <c r="G278" s="1" t="s">
        <v>755</v>
      </c>
      <c r="H278" s="1" t="s">
        <v>756</v>
      </c>
      <c r="I278" s="1" t="s">
        <v>21</v>
      </c>
      <c r="J278" s="1" t="s">
        <v>22</v>
      </c>
      <c r="K278" s="2">
        <v>13.49820285</v>
      </c>
      <c r="L278" s="2">
        <v>108.07382567000001</v>
      </c>
      <c r="M278" s="1" t="s">
        <v>757</v>
      </c>
      <c r="N278" s="1" t="s">
        <v>255</v>
      </c>
      <c r="O278" s="1" t="str">
        <f>INT(K278)&amp;"°"&amp;INT(MOD(K278,1)*60)&amp;"'"&amp;
ROUND(MOD(MOD(K278,1)*60,1)*60,1)&amp;"""N"</f>
        <v>13°29'53.5"N</v>
      </c>
      <c r="P278" s="1" t="str">
        <f>INT(L278)&amp;"°"&amp;INT(MOD(L278,1)*60)&amp;"'"&amp;
ROUND(MOD(MOD(L278,1)*60,1)*60,1)&amp;"""E"</f>
        <v>108°4'25.8"E</v>
      </c>
      <c r="Q278" s="1" t="str">
        <f>O278 &amp; " " &amp; P278</f>
        <v>13°29'53.5"N 108°4'25.8"E</v>
      </c>
    </row>
    <row r="279" spans="1:17" ht="15.75" customHeight="1" x14ac:dyDescent="0.2">
      <c r="A279" s="1">
        <v>504</v>
      </c>
      <c r="B279" s="1" t="s">
        <v>1831</v>
      </c>
      <c r="C279" s="1" t="s">
        <v>15</v>
      </c>
      <c r="D279" s="1" t="s">
        <v>16</v>
      </c>
      <c r="E279" s="1" t="s">
        <v>1814</v>
      </c>
      <c r="F279" s="1" t="s">
        <v>1815</v>
      </c>
      <c r="G279" s="1" t="s">
        <v>1832</v>
      </c>
      <c r="H279" s="1" t="s">
        <v>1833</v>
      </c>
      <c r="I279" s="1" t="s">
        <v>53</v>
      </c>
      <c r="J279" s="1" t="s">
        <v>54</v>
      </c>
      <c r="K279" s="2">
        <v>13.52407314</v>
      </c>
      <c r="L279" s="2">
        <v>109.19680646</v>
      </c>
      <c r="M279" s="1" t="s">
        <v>1834</v>
      </c>
      <c r="N279" s="1" t="s">
        <v>536</v>
      </c>
      <c r="O279" s="1" t="str">
        <f>INT(K279)&amp;"°"&amp;INT(MOD(K279,1)*60)&amp;"'"&amp;
ROUND(MOD(MOD(K279,1)*60,1)*60,1)&amp;"""N"</f>
        <v>13°31'26.7"N</v>
      </c>
      <c r="P279" s="1" t="str">
        <f>INT(L279)&amp;"°"&amp;INT(MOD(L279,1)*60)&amp;"'"&amp;
ROUND(MOD(MOD(L279,1)*60,1)*60,1)&amp;"""E"</f>
        <v>109°11'48.5"E</v>
      </c>
      <c r="Q279" s="1" t="str">
        <f>O279 &amp; " " &amp; P279</f>
        <v>13°31'26.7"N 109°11'48.5"E</v>
      </c>
    </row>
    <row r="280" spans="1:17" ht="15.75" customHeight="1" x14ac:dyDescent="0.2">
      <c r="A280" s="1">
        <v>206</v>
      </c>
      <c r="B280" s="1" t="s">
        <v>776</v>
      </c>
      <c r="C280" s="1" t="s">
        <v>15</v>
      </c>
      <c r="D280" s="1" t="s">
        <v>16</v>
      </c>
      <c r="E280" s="1" t="s">
        <v>740</v>
      </c>
      <c r="F280" s="1" t="s">
        <v>255</v>
      </c>
      <c r="G280" s="1" t="s">
        <v>777</v>
      </c>
      <c r="H280" s="1" t="s">
        <v>777</v>
      </c>
      <c r="I280" s="1" t="s">
        <v>21</v>
      </c>
      <c r="J280" s="1" t="s">
        <v>22</v>
      </c>
      <c r="K280" s="2">
        <v>13.53142759</v>
      </c>
      <c r="L280" s="2">
        <v>108.52481815</v>
      </c>
      <c r="M280" s="1" t="s">
        <v>778</v>
      </c>
      <c r="N280" s="1" t="s">
        <v>255</v>
      </c>
      <c r="O280" s="1" t="str">
        <f>INT(K280)&amp;"°"&amp;INT(MOD(K280,1)*60)&amp;"'"&amp;
ROUND(MOD(MOD(K280,1)*60,1)*60,1)&amp;"""N"</f>
        <v>13°31'53.1"N</v>
      </c>
      <c r="P280" s="1" t="str">
        <f>INT(L280)&amp;"°"&amp;INT(MOD(L280,1)*60)&amp;"'"&amp;
ROUND(MOD(MOD(L280,1)*60,1)*60,1)&amp;"""E"</f>
        <v>108°31'29.3"E</v>
      </c>
      <c r="Q280" s="1" t="str">
        <f>O280 &amp; " " &amp; P280</f>
        <v>13°31'53.1"N 108°31'29.3"E</v>
      </c>
    </row>
    <row r="281" spans="1:17" ht="15.75" customHeight="1" x14ac:dyDescent="0.2">
      <c r="A281" s="1">
        <v>199</v>
      </c>
      <c r="B281" s="1" t="s">
        <v>750</v>
      </c>
      <c r="C281" s="1" t="s">
        <v>15</v>
      </c>
      <c r="D281" s="1" t="s">
        <v>16</v>
      </c>
      <c r="E281" s="1" t="s">
        <v>740</v>
      </c>
      <c r="F281" s="1" t="s">
        <v>255</v>
      </c>
      <c r="G281" s="1" t="s">
        <v>751</v>
      </c>
      <c r="H281" s="1" t="s">
        <v>752</v>
      </c>
      <c r="I281" s="1" t="s">
        <v>21</v>
      </c>
      <c r="J281" s="1" t="s">
        <v>22</v>
      </c>
      <c r="K281" s="2">
        <v>13.596013839999999</v>
      </c>
      <c r="L281" s="2">
        <v>107.81109692</v>
      </c>
      <c r="M281" s="1" t="s">
        <v>753</v>
      </c>
      <c r="N281" s="1" t="s">
        <v>255</v>
      </c>
      <c r="O281" s="1" t="str">
        <f>INT(K281)&amp;"°"&amp;INT(MOD(K281,1)*60)&amp;"'"&amp;
ROUND(MOD(MOD(K281,1)*60,1)*60,1)&amp;"""N"</f>
        <v>13°35'45.6"N</v>
      </c>
      <c r="P281" s="1" t="str">
        <f>INT(L281)&amp;"°"&amp;INT(MOD(L281,1)*60)&amp;"'"&amp;
ROUND(MOD(MOD(L281,1)*60,1)*60,1)&amp;"""E"</f>
        <v>107°48'39.9"E</v>
      </c>
      <c r="Q281" s="1" t="str">
        <f>O281 &amp; " " &amp; P281</f>
        <v>13°35'45.6"N 107°48'39.9"E</v>
      </c>
    </row>
    <row r="282" spans="1:17" ht="15.75" customHeight="1" x14ac:dyDescent="0.2">
      <c r="A282" s="1">
        <v>70</v>
      </c>
      <c r="B282" s="1" t="s">
        <v>285</v>
      </c>
      <c r="C282" s="1" t="s">
        <v>15</v>
      </c>
      <c r="D282" s="1" t="s">
        <v>16</v>
      </c>
      <c r="E282" s="1" t="s">
        <v>250</v>
      </c>
      <c r="F282" s="1" t="s">
        <v>251</v>
      </c>
      <c r="G282" s="1" t="s">
        <v>286</v>
      </c>
      <c r="H282" s="1" t="s">
        <v>287</v>
      </c>
      <c r="I282" s="1" t="s">
        <v>21</v>
      </c>
      <c r="J282" s="1" t="s">
        <v>22</v>
      </c>
      <c r="K282" s="2">
        <v>13.66789393</v>
      </c>
      <c r="L282" s="2">
        <v>108.96195159</v>
      </c>
      <c r="M282" s="1" t="s">
        <v>286</v>
      </c>
      <c r="N282" s="1" t="s">
        <v>255</v>
      </c>
      <c r="O282" s="1" t="str">
        <f>INT(K282)&amp;"°"&amp;INT(MOD(K282,1)*60)&amp;"'"&amp;
ROUND(MOD(MOD(K282,1)*60,1)*60,1)&amp;"""N"</f>
        <v>13°40'4.4"N</v>
      </c>
      <c r="P282" s="1" t="str">
        <f>INT(L282)&amp;"°"&amp;INT(MOD(L282,1)*60)&amp;"'"&amp;
ROUND(MOD(MOD(L282,1)*60,1)*60,1)&amp;"""E"</f>
        <v>108°57'43"E</v>
      </c>
      <c r="Q282" s="1" t="str">
        <f>O282 &amp; " " &amp; P282</f>
        <v>13°40'4.4"N 108°57'43"E</v>
      </c>
    </row>
    <row r="283" spans="1:17" ht="15.75" customHeight="1" x14ac:dyDescent="0.2">
      <c r="A283" s="1">
        <v>201</v>
      </c>
      <c r="B283" s="1" t="s">
        <v>758</v>
      </c>
      <c r="C283" s="1" t="s">
        <v>15</v>
      </c>
      <c r="D283" s="1" t="s">
        <v>16</v>
      </c>
      <c r="E283" s="1" t="s">
        <v>740</v>
      </c>
      <c r="F283" s="1" t="s">
        <v>255</v>
      </c>
      <c r="G283" s="1" t="s">
        <v>759</v>
      </c>
      <c r="H283" s="1" t="s">
        <v>760</v>
      </c>
      <c r="I283" s="1" t="s">
        <v>21</v>
      </c>
      <c r="J283" s="1" t="s">
        <v>22</v>
      </c>
      <c r="K283" s="2">
        <v>13.70705822</v>
      </c>
      <c r="L283" s="2">
        <v>108.12042589000001</v>
      </c>
      <c r="M283" s="1" t="s">
        <v>761</v>
      </c>
      <c r="N283" s="1" t="s">
        <v>255</v>
      </c>
      <c r="O283" s="1" t="str">
        <f>INT(K283)&amp;"°"&amp;INT(MOD(K283,1)*60)&amp;"'"&amp;
ROUND(MOD(MOD(K283,1)*60,1)*60,1)&amp;"""N"</f>
        <v>13°42'25.4"N</v>
      </c>
      <c r="P283" s="1" t="str">
        <f>INT(L283)&amp;"°"&amp;INT(MOD(L283,1)*60)&amp;"'"&amp;
ROUND(MOD(MOD(L283,1)*60,1)*60,1)&amp;"""E"</f>
        <v>108°7'13.5"E</v>
      </c>
      <c r="Q283" s="1" t="str">
        <f>O283 &amp; " " &amp; P283</f>
        <v>13°42'25.4"N 108°7'13.5"E</v>
      </c>
    </row>
    <row r="284" spans="1:17" ht="15.75" customHeight="1" x14ac:dyDescent="0.2">
      <c r="A284" s="1">
        <v>208</v>
      </c>
      <c r="B284" s="1" t="s">
        <v>782</v>
      </c>
      <c r="C284" s="1" t="s">
        <v>15</v>
      </c>
      <c r="D284" s="1" t="s">
        <v>16</v>
      </c>
      <c r="E284" s="1" t="s">
        <v>740</v>
      </c>
      <c r="F284" s="1" t="s">
        <v>255</v>
      </c>
      <c r="G284" s="1" t="s">
        <v>783</v>
      </c>
      <c r="H284" s="1" t="s">
        <v>784</v>
      </c>
      <c r="I284" s="1" t="s">
        <v>21</v>
      </c>
      <c r="J284" s="1" t="s">
        <v>22</v>
      </c>
      <c r="K284" s="2">
        <v>13.74523039</v>
      </c>
      <c r="L284" s="2">
        <v>108.59064895</v>
      </c>
      <c r="M284" s="1" t="s">
        <v>785</v>
      </c>
      <c r="N284" s="1" t="s">
        <v>255</v>
      </c>
      <c r="O284" s="1" t="str">
        <f>INT(K284)&amp;"°"&amp;INT(MOD(K284,1)*60)&amp;"'"&amp;
ROUND(MOD(MOD(K284,1)*60,1)*60,1)&amp;"""N"</f>
        <v>13°44'42.8"N</v>
      </c>
      <c r="P284" s="1" t="str">
        <f>INT(L284)&amp;"°"&amp;INT(MOD(L284,1)*60)&amp;"'"&amp;
ROUND(MOD(MOD(L284,1)*60,1)*60,1)&amp;"""E"</f>
        <v>108°35'26.3"E</v>
      </c>
      <c r="Q284" s="1" t="str">
        <f>O284 &amp; " " &amp; P284</f>
        <v>13°44'42.8"N 108°35'26.3"E</v>
      </c>
    </row>
    <row r="285" spans="1:17" ht="15.75" customHeight="1" x14ac:dyDescent="0.2">
      <c r="A285" s="1">
        <v>67</v>
      </c>
      <c r="B285" s="1" t="s">
        <v>274</v>
      </c>
      <c r="C285" s="1" t="s">
        <v>15</v>
      </c>
      <c r="D285" s="1" t="s">
        <v>16</v>
      </c>
      <c r="E285" s="1" t="s">
        <v>250</v>
      </c>
      <c r="F285" s="1" t="s">
        <v>251</v>
      </c>
      <c r="G285" s="1" t="s">
        <v>275</v>
      </c>
      <c r="H285" s="1" t="s">
        <v>276</v>
      </c>
      <c r="I285" s="1" t="s">
        <v>27</v>
      </c>
      <c r="J285" s="1" t="s">
        <v>28</v>
      </c>
      <c r="K285" s="2">
        <v>13.75289409</v>
      </c>
      <c r="L285" s="2">
        <v>109.19480554</v>
      </c>
      <c r="M285" s="1" t="s">
        <v>277</v>
      </c>
      <c r="N285" s="1" t="s">
        <v>255</v>
      </c>
      <c r="O285" s="1" t="str">
        <f>INT(K285)&amp;"°"&amp;INT(MOD(K285,1)*60)&amp;"'"&amp;
ROUND(MOD(MOD(K285,1)*60,1)*60,1)&amp;"""N"</f>
        <v>13°45'10.4"N</v>
      </c>
      <c r="P285" s="1" t="str">
        <f>INT(L285)&amp;"°"&amp;INT(MOD(L285,1)*60)&amp;"'"&amp;
ROUND(MOD(MOD(L285,1)*60,1)*60,1)&amp;"""E"</f>
        <v>109°11'41.3"E</v>
      </c>
      <c r="Q285" s="1" t="str">
        <f>O285 &amp; " " &amp; P285</f>
        <v>13°45'10.4"N 109°11'41.3"E</v>
      </c>
    </row>
    <row r="286" spans="1:17" ht="15.75" customHeight="1" x14ac:dyDescent="0.2">
      <c r="A286" s="1">
        <v>204</v>
      </c>
      <c r="B286" s="1" t="s">
        <v>770</v>
      </c>
      <c r="C286" s="1" t="s">
        <v>15</v>
      </c>
      <c r="D286" s="1" t="s">
        <v>16</v>
      </c>
      <c r="E286" s="1" t="s">
        <v>740</v>
      </c>
      <c r="F286" s="1" t="s">
        <v>255</v>
      </c>
      <c r="G286" s="1" t="s">
        <v>771</v>
      </c>
      <c r="H286" s="1" t="s">
        <v>772</v>
      </c>
      <c r="I286" s="1" t="s">
        <v>21</v>
      </c>
      <c r="J286" s="1" t="s">
        <v>22</v>
      </c>
      <c r="K286" s="2">
        <v>13.78120681</v>
      </c>
      <c r="L286" s="2">
        <v>107.65682405</v>
      </c>
      <c r="M286" s="1" t="s">
        <v>773</v>
      </c>
      <c r="N286" s="1" t="s">
        <v>255</v>
      </c>
      <c r="O286" s="1" t="str">
        <f>INT(K286)&amp;"°"&amp;INT(MOD(K286,1)*60)&amp;"'"&amp;
ROUND(MOD(MOD(K286,1)*60,1)*60,1)&amp;"""N"</f>
        <v>13°46'52.3"N</v>
      </c>
      <c r="P286" s="1" t="str">
        <f>INT(L286)&amp;"°"&amp;INT(MOD(L286,1)*60)&amp;"'"&amp;
ROUND(MOD(MOD(L286,1)*60,1)*60,1)&amp;"""E"</f>
        <v>107°39'24.6"E</v>
      </c>
      <c r="Q286" s="1" t="str">
        <f>O286 &amp; " " &amp; P286</f>
        <v>13°46'52.3"N 107°39'24.6"E</v>
      </c>
    </row>
    <row r="287" spans="1:17" ht="15.75" customHeight="1" x14ac:dyDescent="0.2">
      <c r="A287" s="1">
        <v>69</v>
      </c>
      <c r="B287" s="1" t="s">
        <v>282</v>
      </c>
      <c r="C287" s="1" t="s">
        <v>15</v>
      </c>
      <c r="D287" s="1" t="s">
        <v>16</v>
      </c>
      <c r="E287" s="1" t="s">
        <v>250</v>
      </c>
      <c r="F287" s="1" t="s">
        <v>251</v>
      </c>
      <c r="G287" s="1" t="s">
        <v>283</v>
      </c>
      <c r="H287" s="1" t="s">
        <v>284</v>
      </c>
      <c r="I287" s="1" t="s">
        <v>21</v>
      </c>
      <c r="J287" s="1" t="s">
        <v>22</v>
      </c>
      <c r="K287" s="2">
        <v>13.844148560000001</v>
      </c>
      <c r="L287" s="2">
        <v>109.16160219</v>
      </c>
      <c r="M287" s="1" t="s">
        <v>283</v>
      </c>
      <c r="N287" s="1" t="s">
        <v>255</v>
      </c>
      <c r="O287" s="1" t="str">
        <f>INT(K287)&amp;"°"&amp;INT(MOD(K287,1)*60)&amp;"'"&amp;
ROUND(MOD(MOD(K287,1)*60,1)*60,1)&amp;"""N"</f>
        <v>13°50'38.9"N</v>
      </c>
      <c r="P287" s="1" t="str">
        <f>INT(L287)&amp;"°"&amp;INT(MOD(L287,1)*60)&amp;"'"&amp;
ROUND(MOD(MOD(L287,1)*60,1)*60,1)&amp;"""E"</f>
        <v>109°9'41.8"E</v>
      </c>
      <c r="Q287" s="1" t="str">
        <f>O287 &amp; " " &amp; P287</f>
        <v>13°50'38.9"N 109°9'41.8"E</v>
      </c>
    </row>
    <row r="288" spans="1:17" ht="15.75" customHeight="1" x14ac:dyDescent="0.2">
      <c r="A288" s="1">
        <v>62</v>
      </c>
      <c r="B288" s="1" t="s">
        <v>256</v>
      </c>
      <c r="C288" s="1" t="s">
        <v>15</v>
      </c>
      <c r="D288" s="1" t="s">
        <v>16</v>
      </c>
      <c r="E288" s="1" t="s">
        <v>250</v>
      </c>
      <c r="F288" s="1" t="s">
        <v>251</v>
      </c>
      <c r="G288" s="1" t="s">
        <v>257</v>
      </c>
      <c r="H288" s="1" t="s">
        <v>258</v>
      </c>
      <c r="I288" s="1" t="s">
        <v>53</v>
      </c>
      <c r="J288" s="1" t="s">
        <v>54</v>
      </c>
      <c r="K288" s="2">
        <v>13.8703042</v>
      </c>
      <c r="L288" s="2">
        <v>109.06168212</v>
      </c>
      <c r="M288" s="1" t="s">
        <v>259</v>
      </c>
      <c r="N288" s="1" t="s">
        <v>255</v>
      </c>
      <c r="O288" s="1" t="str">
        <f>INT(K288)&amp;"°"&amp;INT(MOD(K288,1)*60)&amp;"'"&amp;
ROUND(MOD(MOD(K288,1)*60,1)*60,1)&amp;"""N"</f>
        <v>13°52'13.1"N</v>
      </c>
      <c r="P288" s="1" t="str">
        <f>INT(L288)&amp;"°"&amp;INT(MOD(L288,1)*60)&amp;"'"&amp;
ROUND(MOD(MOD(L288,1)*60,1)*60,1)&amp;"""E"</f>
        <v>109°3'42.1"E</v>
      </c>
      <c r="Q288" s="1" t="str">
        <f>O288 &amp; " " &amp; P288</f>
        <v>13°52'13.1"N 109°3'42.1"E</v>
      </c>
    </row>
    <row r="289" spans="1:17" ht="15.75" customHeight="1" x14ac:dyDescent="0.2">
      <c r="A289" s="1">
        <v>203</v>
      </c>
      <c r="B289" s="1" t="s">
        <v>766</v>
      </c>
      <c r="C289" s="1" t="s">
        <v>15</v>
      </c>
      <c r="D289" s="1" t="s">
        <v>16</v>
      </c>
      <c r="E289" s="1" t="s">
        <v>740</v>
      </c>
      <c r="F289" s="1" t="s">
        <v>255</v>
      </c>
      <c r="G289" s="1" t="s">
        <v>767</v>
      </c>
      <c r="H289" s="1" t="s">
        <v>768</v>
      </c>
      <c r="I289" s="1" t="s">
        <v>21</v>
      </c>
      <c r="J289" s="1" t="s">
        <v>22</v>
      </c>
      <c r="K289" s="2">
        <v>13.929253510000001</v>
      </c>
      <c r="L289" s="2">
        <v>108.60195806999999</v>
      </c>
      <c r="M289" s="1" t="s">
        <v>769</v>
      </c>
      <c r="N289" s="1" t="s">
        <v>255</v>
      </c>
      <c r="O289" s="1" t="str">
        <f>INT(K289)&amp;"°"&amp;INT(MOD(K289,1)*60)&amp;"'"&amp;
ROUND(MOD(MOD(K289,1)*60,1)*60,1)&amp;"""N"</f>
        <v>13°55'45.3"N</v>
      </c>
      <c r="P289" s="1" t="str">
        <f>INT(L289)&amp;"°"&amp;INT(MOD(L289,1)*60)&amp;"'"&amp;
ROUND(MOD(MOD(L289,1)*60,1)*60,1)&amp;"""E"</f>
        <v>108°36'7"E</v>
      </c>
      <c r="Q289" s="1" t="str">
        <f>O289 &amp; " " &amp; P289</f>
        <v>13°55'45.3"N 108°36'7"E</v>
      </c>
    </row>
    <row r="290" spans="1:17" ht="15.75" customHeight="1" x14ac:dyDescent="0.2">
      <c r="A290" s="1">
        <v>68</v>
      </c>
      <c r="B290" s="1" t="s">
        <v>278</v>
      </c>
      <c r="C290" s="1" t="s">
        <v>15</v>
      </c>
      <c r="D290" s="1" t="s">
        <v>16</v>
      </c>
      <c r="E290" s="1" t="s">
        <v>250</v>
      </c>
      <c r="F290" s="1" t="s">
        <v>251</v>
      </c>
      <c r="G290" s="1" t="s">
        <v>279</v>
      </c>
      <c r="H290" s="1" t="s">
        <v>280</v>
      </c>
      <c r="I290" s="1" t="s">
        <v>21</v>
      </c>
      <c r="J290" s="1" t="s">
        <v>22</v>
      </c>
      <c r="K290" s="2">
        <v>13.9333835</v>
      </c>
      <c r="L290" s="2">
        <v>108.88304483</v>
      </c>
      <c r="M290" s="1" t="s">
        <v>281</v>
      </c>
      <c r="N290" s="1" t="s">
        <v>255</v>
      </c>
      <c r="O290" s="1" t="str">
        <f>INT(K290)&amp;"°"&amp;INT(MOD(K290,1)*60)&amp;"'"&amp;
ROUND(MOD(MOD(K290,1)*60,1)*60,1)&amp;"""N"</f>
        <v>13°56'0.2"N</v>
      </c>
      <c r="P290" s="1" t="str">
        <f>INT(L290)&amp;"°"&amp;INT(MOD(L290,1)*60)&amp;"'"&amp;
ROUND(MOD(MOD(L290,1)*60,1)*60,1)&amp;"""E"</f>
        <v>108°52'59"E</v>
      </c>
      <c r="Q290" s="1" t="str">
        <f>O290 &amp; " " &amp; P290</f>
        <v>13°56'0.2"N 108°52'59"E</v>
      </c>
    </row>
    <row r="291" spans="1:17" ht="15.75" customHeight="1" x14ac:dyDescent="0.2">
      <c r="A291" s="1">
        <v>210</v>
      </c>
      <c r="B291" s="1" t="s">
        <v>790</v>
      </c>
      <c r="C291" s="1" t="s">
        <v>15</v>
      </c>
      <c r="D291" s="1" t="s">
        <v>16</v>
      </c>
      <c r="E291" s="1" t="s">
        <v>740</v>
      </c>
      <c r="F291" s="1" t="s">
        <v>255</v>
      </c>
      <c r="G291" s="1" t="s">
        <v>791</v>
      </c>
      <c r="H291" s="1" t="s">
        <v>791</v>
      </c>
      <c r="I291" s="1" t="s">
        <v>21</v>
      </c>
      <c r="J291" s="1" t="s">
        <v>22</v>
      </c>
      <c r="K291" s="2">
        <v>13.94875931</v>
      </c>
      <c r="L291" s="2">
        <v>108.30845216</v>
      </c>
      <c r="M291" s="1" t="s">
        <v>792</v>
      </c>
      <c r="N291" s="1" t="s">
        <v>255</v>
      </c>
      <c r="O291" s="1" t="str">
        <f>INT(K291)&amp;"°"&amp;INT(MOD(K291,1)*60)&amp;"'"&amp;
ROUND(MOD(MOD(K291,1)*60,1)*60,1)&amp;"""N"</f>
        <v>13°56'55.5"N</v>
      </c>
      <c r="P291" s="1" t="str">
        <f>INT(L291)&amp;"°"&amp;INT(MOD(L291,1)*60)&amp;"'"&amp;
ROUND(MOD(MOD(L291,1)*60,1)*60,1)&amp;"""E"</f>
        <v>108°18'30.4"E</v>
      </c>
      <c r="Q291" s="1" t="str">
        <f>O291 &amp; " " &amp; P291</f>
        <v>13°56'55.5"N 108°18'30.4"E</v>
      </c>
    </row>
    <row r="292" spans="1:17" ht="15.75" customHeight="1" x14ac:dyDescent="0.2">
      <c r="A292" s="1">
        <v>212</v>
      </c>
      <c r="B292" s="1" t="s">
        <v>796</v>
      </c>
      <c r="C292" s="1" t="s">
        <v>15</v>
      </c>
      <c r="D292" s="1" t="s">
        <v>16</v>
      </c>
      <c r="E292" s="1" t="s">
        <v>740</v>
      </c>
      <c r="F292" s="1" t="s">
        <v>255</v>
      </c>
      <c r="G292" s="1" t="s">
        <v>797</v>
      </c>
      <c r="H292" s="1" t="s">
        <v>797</v>
      </c>
      <c r="I292" s="1" t="s">
        <v>27</v>
      </c>
      <c r="J292" s="1" t="s">
        <v>28</v>
      </c>
      <c r="K292" s="2">
        <v>13.951462830000001</v>
      </c>
      <c r="L292" s="2">
        <v>107.99239915</v>
      </c>
      <c r="M292" s="1" t="s">
        <v>797</v>
      </c>
      <c r="N292" s="1" t="s">
        <v>255</v>
      </c>
      <c r="O292" s="1" t="str">
        <f>INT(K292)&amp;"°"&amp;INT(MOD(K292,1)*60)&amp;"'"&amp;
ROUND(MOD(MOD(K292,1)*60,1)*60,1)&amp;"""N"</f>
        <v>13°57'5.3"N</v>
      </c>
      <c r="P292" s="1" t="str">
        <f>INT(L292)&amp;"°"&amp;INT(MOD(L292,1)*60)&amp;"'"&amp;
ROUND(MOD(MOD(L292,1)*60,1)*60,1)&amp;"""E"</f>
        <v>107°59'32.6"E</v>
      </c>
      <c r="Q292" s="1" t="str">
        <f>O292 &amp; " " &amp; P292</f>
        <v>13°57'5.3"N 107°59'32.6"E</v>
      </c>
    </row>
    <row r="293" spans="1:17" ht="15.75" customHeight="1" x14ac:dyDescent="0.2">
      <c r="A293" s="1">
        <v>205</v>
      </c>
      <c r="B293" s="1" t="s">
        <v>774</v>
      </c>
      <c r="C293" s="1" t="s">
        <v>15</v>
      </c>
      <c r="D293" s="1" t="s">
        <v>16</v>
      </c>
      <c r="E293" s="1" t="s">
        <v>740</v>
      </c>
      <c r="F293" s="1" t="s">
        <v>255</v>
      </c>
      <c r="G293" s="1" t="s">
        <v>775</v>
      </c>
      <c r="H293" s="1" t="s">
        <v>775</v>
      </c>
      <c r="I293" s="1" t="s">
        <v>21</v>
      </c>
      <c r="J293" s="1" t="s">
        <v>22</v>
      </c>
      <c r="K293" s="2">
        <v>13.97618381</v>
      </c>
      <c r="L293" s="2">
        <v>107.7251077</v>
      </c>
      <c r="M293" s="1" t="s">
        <v>775</v>
      </c>
      <c r="N293" s="1" t="s">
        <v>255</v>
      </c>
      <c r="O293" s="1" t="str">
        <f>INT(K293)&amp;"°"&amp;INT(MOD(K293,1)*60)&amp;"'"&amp;
ROUND(MOD(MOD(K293,1)*60,1)*60,1)&amp;"""N"</f>
        <v>13°58'34.3"N</v>
      </c>
      <c r="P293" s="1" t="str">
        <f>INT(L293)&amp;"°"&amp;INT(MOD(L293,1)*60)&amp;"'"&amp;
ROUND(MOD(MOD(L293,1)*60,1)*60,1)&amp;"""E"</f>
        <v>107°43'30.4"E</v>
      </c>
      <c r="Q293" s="1" t="str">
        <f>O293 &amp; " " &amp; P293</f>
        <v>13°58'34.3"N 107°43'30.4"E</v>
      </c>
    </row>
    <row r="294" spans="1:17" ht="15.75" customHeight="1" x14ac:dyDescent="0.2">
      <c r="A294" s="1">
        <v>196</v>
      </c>
      <c r="B294" s="1" t="s">
        <v>739</v>
      </c>
      <c r="C294" s="1" t="s">
        <v>15</v>
      </c>
      <c r="D294" s="1" t="s">
        <v>16</v>
      </c>
      <c r="E294" s="1" t="s">
        <v>740</v>
      </c>
      <c r="F294" s="1" t="s">
        <v>255</v>
      </c>
      <c r="G294" s="1" t="s">
        <v>741</v>
      </c>
      <c r="H294" s="1" t="s">
        <v>742</v>
      </c>
      <c r="I294" s="1" t="s">
        <v>53</v>
      </c>
      <c r="J294" s="1" t="s">
        <v>54</v>
      </c>
      <c r="K294" s="2">
        <v>14.014855620000001</v>
      </c>
      <c r="L294" s="2">
        <v>108.69567485</v>
      </c>
      <c r="M294" s="1" t="s">
        <v>741</v>
      </c>
      <c r="N294" s="1" t="s">
        <v>255</v>
      </c>
      <c r="O294" s="1" t="str">
        <f>INT(K294)&amp;"°"&amp;INT(MOD(K294,1)*60)&amp;"'"&amp;
ROUND(MOD(MOD(K294,1)*60,1)*60,1)&amp;"""N"</f>
        <v>14°0'53.5"N</v>
      </c>
      <c r="P294" s="1" t="str">
        <f>INT(L294)&amp;"°"&amp;INT(MOD(L294,1)*60)&amp;"'"&amp;
ROUND(MOD(MOD(L294,1)*60,1)*60,1)&amp;"""E"</f>
        <v>108°41'44.4"E</v>
      </c>
      <c r="Q294" s="1" t="str">
        <f>O294 &amp; " " &amp; P294</f>
        <v>14°0'53.5"N 108°41'44.4"E</v>
      </c>
    </row>
    <row r="295" spans="1:17" ht="15.75" customHeight="1" x14ac:dyDescent="0.2">
      <c r="A295" s="1">
        <v>65</v>
      </c>
      <c r="B295" s="1" t="s">
        <v>267</v>
      </c>
      <c r="C295" s="1" t="s">
        <v>15</v>
      </c>
      <c r="D295" s="1" t="s">
        <v>16</v>
      </c>
      <c r="E295" s="1" t="s">
        <v>250</v>
      </c>
      <c r="F295" s="1" t="s">
        <v>251</v>
      </c>
      <c r="G295" s="1" t="s">
        <v>268</v>
      </c>
      <c r="H295" s="1" t="s">
        <v>269</v>
      </c>
      <c r="I295" s="1" t="s">
        <v>21</v>
      </c>
      <c r="J295" s="1" t="s">
        <v>22</v>
      </c>
      <c r="K295" s="2">
        <v>14.05282103</v>
      </c>
      <c r="L295" s="2">
        <v>109.07738324</v>
      </c>
      <c r="M295" s="1" t="s">
        <v>95</v>
      </c>
      <c r="N295" s="1" t="s">
        <v>255</v>
      </c>
      <c r="O295" s="1" t="str">
        <f>INT(K295)&amp;"°"&amp;INT(MOD(K295,1)*60)&amp;"'"&amp;
ROUND(MOD(MOD(K295,1)*60,1)*60,1)&amp;"""N"</f>
        <v>14°3'10.2"N</v>
      </c>
      <c r="P295" s="1" t="str">
        <f>INT(L295)&amp;"°"&amp;INT(MOD(L295,1)*60)&amp;"'"&amp;
ROUND(MOD(MOD(L295,1)*60,1)*60,1)&amp;"""E"</f>
        <v>109°4'38.6"E</v>
      </c>
      <c r="Q295" s="1" t="str">
        <f>O295 &amp; " " &amp; P295</f>
        <v>14°3'10.2"N 109°4'38.6"E</v>
      </c>
    </row>
    <row r="296" spans="1:17" ht="15.75" customHeight="1" x14ac:dyDescent="0.2">
      <c r="A296" s="1">
        <v>202</v>
      </c>
      <c r="B296" s="1" t="s">
        <v>762</v>
      </c>
      <c r="C296" s="1" t="s">
        <v>15</v>
      </c>
      <c r="D296" s="1" t="s">
        <v>16</v>
      </c>
      <c r="E296" s="1" t="s">
        <v>740</v>
      </c>
      <c r="F296" s="1" t="s">
        <v>255</v>
      </c>
      <c r="G296" s="1" t="s">
        <v>763</v>
      </c>
      <c r="H296" s="1" t="s">
        <v>764</v>
      </c>
      <c r="I296" s="1" t="s">
        <v>21</v>
      </c>
      <c r="J296" s="1" t="s">
        <v>22</v>
      </c>
      <c r="K296" s="2">
        <v>14.08897318</v>
      </c>
      <c r="L296" s="2">
        <v>108.17326812</v>
      </c>
      <c r="M296" s="1" t="s">
        <v>765</v>
      </c>
      <c r="N296" s="1" t="s">
        <v>255</v>
      </c>
      <c r="O296" s="1" t="str">
        <f>INT(K296)&amp;"°"&amp;INT(MOD(K296,1)*60)&amp;"'"&amp;
ROUND(MOD(MOD(K296,1)*60,1)*60,1)&amp;"""N"</f>
        <v>14°5'20.3"N</v>
      </c>
      <c r="P296" s="1" t="str">
        <f>INT(L296)&amp;"°"&amp;INT(MOD(L296,1)*60)&amp;"'"&amp;
ROUND(MOD(MOD(L296,1)*60,1)*60,1)&amp;"""E"</f>
        <v>108°10'23.8"E</v>
      </c>
      <c r="Q296" s="1" t="str">
        <f>O296 &amp; " " &amp; P296</f>
        <v>14°5'20.3"N 108°10'23.8"E</v>
      </c>
    </row>
    <row r="297" spans="1:17" ht="15.75" customHeight="1" x14ac:dyDescent="0.2">
      <c r="A297" s="1">
        <v>379</v>
      </c>
      <c r="B297" s="1" t="s">
        <v>1389</v>
      </c>
      <c r="C297" s="1" t="s">
        <v>15</v>
      </c>
      <c r="D297" s="1" t="s">
        <v>16</v>
      </c>
      <c r="E297" s="1" t="s">
        <v>1375</v>
      </c>
      <c r="F297" s="1" t="s">
        <v>1376</v>
      </c>
      <c r="G297" s="1" t="s">
        <v>1390</v>
      </c>
      <c r="H297" s="1" t="s">
        <v>1390</v>
      </c>
      <c r="I297" s="1" t="s">
        <v>21</v>
      </c>
      <c r="J297" s="1" t="s">
        <v>22</v>
      </c>
      <c r="K297" s="2">
        <v>14.17452478</v>
      </c>
      <c r="L297" s="2">
        <v>107.50282135</v>
      </c>
      <c r="M297" s="1" t="s">
        <v>1391</v>
      </c>
      <c r="N297" s="1" t="s">
        <v>1380</v>
      </c>
      <c r="O297" s="1" t="str">
        <f>INT(K297)&amp;"°"&amp;INT(MOD(K297,1)*60)&amp;"'"&amp;
ROUND(MOD(MOD(K297,1)*60,1)*60,1)&amp;"""N"</f>
        <v>14°10'28.3"N</v>
      </c>
      <c r="P297" s="1" t="str">
        <f>INT(L297)&amp;"°"&amp;INT(MOD(L297,1)*60)&amp;"'"&amp;
ROUND(MOD(MOD(L297,1)*60,1)*60,1)&amp;"""E"</f>
        <v>107°30'10.2"E</v>
      </c>
      <c r="Q297" s="1" t="str">
        <f>O297 &amp; " " &amp; P297</f>
        <v>14°10'28.3"N 107°30'10.2"E</v>
      </c>
    </row>
    <row r="298" spans="1:17" ht="15.75" customHeight="1" x14ac:dyDescent="0.2">
      <c r="A298" s="1">
        <v>198</v>
      </c>
      <c r="B298" s="1" t="s">
        <v>746</v>
      </c>
      <c r="C298" s="1" t="s">
        <v>15</v>
      </c>
      <c r="D298" s="1" t="s">
        <v>16</v>
      </c>
      <c r="E298" s="1" t="s">
        <v>740</v>
      </c>
      <c r="F298" s="1" t="s">
        <v>255</v>
      </c>
      <c r="G298" s="1" t="s">
        <v>747</v>
      </c>
      <c r="H298" s="1" t="s">
        <v>748</v>
      </c>
      <c r="I298" s="1" t="s">
        <v>21</v>
      </c>
      <c r="J298" s="1" t="s">
        <v>22</v>
      </c>
      <c r="K298" s="2">
        <v>14.19295047</v>
      </c>
      <c r="L298" s="2">
        <v>107.95465933</v>
      </c>
      <c r="M298" s="1" t="s">
        <v>749</v>
      </c>
      <c r="N298" s="1" t="s">
        <v>255</v>
      </c>
      <c r="O298" s="1" t="str">
        <f>INT(K298)&amp;"°"&amp;INT(MOD(K298,1)*60)&amp;"'"&amp;
ROUND(MOD(MOD(K298,1)*60,1)*60,1)&amp;"""N"</f>
        <v>14°11'34.6"N</v>
      </c>
      <c r="P298" s="1" t="str">
        <f>INT(L298)&amp;"°"&amp;INT(MOD(L298,1)*60)&amp;"'"&amp;
ROUND(MOD(MOD(L298,1)*60,1)*60,1)&amp;"""E"</f>
        <v>107°57'16.8"E</v>
      </c>
      <c r="Q298" s="1" t="str">
        <f>O298 &amp; " " &amp; P298</f>
        <v>14°11'34.6"N 107°57'16.8"E</v>
      </c>
    </row>
    <row r="299" spans="1:17" ht="15.75" customHeight="1" x14ac:dyDescent="0.2">
      <c r="A299" s="1">
        <v>66</v>
      </c>
      <c r="B299" s="1" t="s">
        <v>270</v>
      </c>
      <c r="C299" s="1" t="s">
        <v>15</v>
      </c>
      <c r="D299" s="1" t="s">
        <v>16</v>
      </c>
      <c r="E299" s="1" t="s">
        <v>250</v>
      </c>
      <c r="F299" s="1" t="s">
        <v>251</v>
      </c>
      <c r="G299" s="1" t="s">
        <v>271</v>
      </c>
      <c r="H299" s="1" t="s">
        <v>272</v>
      </c>
      <c r="I299" s="1" t="s">
        <v>21</v>
      </c>
      <c r="J299" s="1" t="s">
        <v>22</v>
      </c>
      <c r="K299" s="2">
        <v>14.22682073</v>
      </c>
      <c r="L299" s="2">
        <v>109.08683259999999</v>
      </c>
      <c r="M299" s="1" t="s">
        <v>273</v>
      </c>
      <c r="N299" s="1" t="s">
        <v>255</v>
      </c>
      <c r="O299" s="1" t="str">
        <f>INT(K299)&amp;"°"&amp;INT(MOD(K299,1)*60)&amp;"'"&amp;
ROUND(MOD(MOD(K299,1)*60,1)*60,1)&amp;"""N"</f>
        <v>14°13'36.6"N</v>
      </c>
      <c r="P299" s="1" t="str">
        <f>INT(L299)&amp;"°"&amp;INT(MOD(L299,1)*60)&amp;"'"&amp;
ROUND(MOD(MOD(L299,1)*60,1)*60,1)&amp;"""E"</f>
        <v>109°5'12.6"E</v>
      </c>
      <c r="Q299" s="1" t="str">
        <f>O299 &amp; " " &amp; P299</f>
        <v>14°13'36.6"N 109°5'12.6"E</v>
      </c>
    </row>
    <row r="300" spans="1:17" ht="15.75" customHeight="1" x14ac:dyDescent="0.2">
      <c r="A300" s="1">
        <v>71</v>
      </c>
      <c r="B300" s="1" t="s">
        <v>288</v>
      </c>
      <c r="C300" s="1" t="s">
        <v>15</v>
      </c>
      <c r="D300" s="1" t="s">
        <v>16</v>
      </c>
      <c r="E300" s="1" t="s">
        <v>250</v>
      </c>
      <c r="F300" s="1" t="s">
        <v>251</v>
      </c>
      <c r="G300" s="1" t="s">
        <v>289</v>
      </c>
      <c r="H300" s="1" t="s">
        <v>290</v>
      </c>
      <c r="I300" s="1" t="s">
        <v>21</v>
      </c>
      <c r="J300" s="1" t="s">
        <v>22</v>
      </c>
      <c r="K300" s="2">
        <v>14.22846507</v>
      </c>
      <c r="L300" s="2">
        <v>108.74365142000001</v>
      </c>
      <c r="M300" s="1" t="s">
        <v>289</v>
      </c>
      <c r="N300" s="1" t="s">
        <v>255</v>
      </c>
      <c r="O300" s="1" t="str">
        <f>INT(K300)&amp;"°"&amp;INT(MOD(K300,1)*60)&amp;"'"&amp;
ROUND(MOD(MOD(K300,1)*60,1)*60,1)&amp;"""N"</f>
        <v>14°13'42.5"N</v>
      </c>
      <c r="P300" s="1" t="str">
        <f>INT(L300)&amp;"°"&amp;INT(MOD(L300,1)*60)&amp;"'"&amp;
ROUND(MOD(MOD(L300,1)*60,1)*60,1)&amp;"""E"</f>
        <v>108°44'37.1"E</v>
      </c>
      <c r="Q300" s="1" t="str">
        <f>O300 &amp; " " &amp; P300</f>
        <v>14°13'42.5"N 108°44'37.1"E</v>
      </c>
    </row>
    <row r="301" spans="1:17" ht="15.75" customHeight="1" x14ac:dyDescent="0.2">
      <c r="A301" s="1">
        <v>207</v>
      </c>
      <c r="B301" s="1" t="s">
        <v>779</v>
      </c>
      <c r="C301" s="1" t="s">
        <v>15</v>
      </c>
      <c r="D301" s="1" t="s">
        <v>16</v>
      </c>
      <c r="E301" s="1" t="s">
        <v>740</v>
      </c>
      <c r="F301" s="1" t="s">
        <v>255</v>
      </c>
      <c r="G301" s="1" t="s">
        <v>780</v>
      </c>
      <c r="H301" s="1" t="s">
        <v>780</v>
      </c>
      <c r="I301" s="1" t="s">
        <v>21</v>
      </c>
      <c r="J301" s="1" t="s">
        <v>22</v>
      </c>
      <c r="K301" s="2">
        <v>14.30658708</v>
      </c>
      <c r="L301" s="2">
        <v>108.50078274000001</v>
      </c>
      <c r="M301" s="1" t="s">
        <v>781</v>
      </c>
      <c r="N301" s="1" t="s">
        <v>255</v>
      </c>
      <c r="O301" s="1" t="str">
        <f>INT(K301)&amp;"°"&amp;INT(MOD(K301,1)*60)&amp;"'"&amp;
ROUND(MOD(MOD(K301,1)*60,1)*60,1)&amp;"""N"</f>
        <v>14°18'23.7"N</v>
      </c>
      <c r="P301" s="1" t="str">
        <f>INT(L301)&amp;"°"&amp;INT(MOD(L301,1)*60)&amp;"'"&amp;
ROUND(MOD(MOD(L301,1)*60,1)*60,1)&amp;"""E"</f>
        <v>108°30'2.8"E</v>
      </c>
      <c r="Q301" s="1" t="str">
        <f>O301 &amp; " " &amp; P301</f>
        <v>14°18'23.7"N 108°30'2.8"E</v>
      </c>
    </row>
    <row r="302" spans="1:17" ht="15.75" customHeight="1" x14ac:dyDescent="0.2">
      <c r="A302" s="1">
        <v>382</v>
      </c>
      <c r="B302" s="1" t="s">
        <v>1399</v>
      </c>
      <c r="C302" s="1" t="s">
        <v>15</v>
      </c>
      <c r="D302" s="1" t="s">
        <v>16</v>
      </c>
      <c r="E302" s="1" t="s">
        <v>1375</v>
      </c>
      <c r="F302" s="1" t="s">
        <v>1376</v>
      </c>
      <c r="G302" s="1" t="s">
        <v>1376</v>
      </c>
      <c r="H302" s="1" t="s">
        <v>1376</v>
      </c>
      <c r="I302" s="1" t="s">
        <v>27</v>
      </c>
      <c r="J302" s="1" t="s">
        <v>28</v>
      </c>
      <c r="K302" s="2">
        <v>14.342043970000001</v>
      </c>
      <c r="L302" s="2">
        <v>107.97507272999999</v>
      </c>
      <c r="M302" s="1" t="s">
        <v>1400</v>
      </c>
      <c r="N302" s="1" t="s">
        <v>1380</v>
      </c>
      <c r="O302" s="1" t="str">
        <f>INT(K302)&amp;"°"&amp;INT(MOD(K302,1)*60)&amp;"'"&amp;
ROUND(MOD(MOD(K302,1)*60,1)*60,1)&amp;"""N"</f>
        <v>14°20'31.4"N</v>
      </c>
      <c r="P302" s="1" t="str">
        <f>INT(L302)&amp;"°"&amp;INT(MOD(L302,1)*60)&amp;"'"&amp;
ROUND(MOD(MOD(L302,1)*60,1)*60,1)&amp;"""E"</f>
        <v>107°58'30.3"E</v>
      </c>
      <c r="Q302" s="1" t="str">
        <f>O302 &amp; " " &amp; P302</f>
        <v>14°20'31.4"N 107°58'30.3"E</v>
      </c>
    </row>
    <row r="303" spans="1:17" ht="15.75" customHeight="1" x14ac:dyDescent="0.2">
      <c r="A303" s="1">
        <v>63</v>
      </c>
      <c r="B303" s="1" t="s">
        <v>260</v>
      </c>
      <c r="C303" s="1" t="s">
        <v>15</v>
      </c>
      <c r="D303" s="1" t="s">
        <v>16</v>
      </c>
      <c r="E303" s="1" t="s">
        <v>250</v>
      </c>
      <c r="F303" s="1" t="s">
        <v>251</v>
      </c>
      <c r="G303" s="1" t="s">
        <v>261</v>
      </c>
      <c r="H303" s="1" t="s">
        <v>262</v>
      </c>
      <c r="I303" s="1" t="s">
        <v>21</v>
      </c>
      <c r="J303" s="1" t="s">
        <v>22</v>
      </c>
      <c r="K303" s="2">
        <v>14.346141599999999</v>
      </c>
      <c r="L303" s="2">
        <v>108.89728737999999</v>
      </c>
      <c r="M303" s="1" t="s">
        <v>263</v>
      </c>
      <c r="N303" s="1" t="s">
        <v>255</v>
      </c>
      <c r="O303" s="1" t="str">
        <f>INT(K303)&amp;"°"&amp;INT(MOD(K303,1)*60)&amp;"'"&amp;
ROUND(MOD(MOD(K303,1)*60,1)*60,1)&amp;"""N"</f>
        <v>14°20'46.1"N</v>
      </c>
      <c r="P303" s="1" t="str">
        <f>INT(L303)&amp;"°"&amp;INT(MOD(L303,1)*60)&amp;"'"&amp;
ROUND(MOD(MOD(L303,1)*60,1)*60,1)&amp;"""E"</f>
        <v>108°53'50.2"E</v>
      </c>
      <c r="Q303" s="1" t="str">
        <f>O303 &amp; " " &amp; P303</f>
        <v>14°20'46.1"N 108°53'50.2"E</v>
      </c>
    </row>
    <row r="304" spans="1:17" ht="15.75" customHeight="1" x14ac:dyDescent="0.2">
      <c r="A304" s="1">
        <v>384</v>
      </c>
      <c r="B304" s="1" t="s">
        <v>1405</v>
      </c>
      <c r="C304" s="1" t="s">
        <v>15</v>
      </c>
      <c r="D304" s="1" t="s">
        <v>16</v>
      </c>
      <c r="E304" s="1" t="s">
        <v>1375</v>
      </c>
      <c r="F304" s="1" t="s">
        <v>1376</v>
      </c>
      <c r="G304" s="1" t="s">
        <v>1406</v>
      </c>
      <c r="H304" s="1" t="s">
        <v>1407</v>
      </c>
      <c r="I304" s="1" t="s">
        <v>21</v>
      </c>
      <c r="J304" s="1" t="s">
        <v>22</v>
      </c>
      <c r="K304" s="2">
        <v>14.401369020000001</v>
      </c>
      <c r="L304" s="2">
        <v>107.70977994</v>
      </c>
      <c r="M304" s="1" t="s">
        <v>1408</v>
      </c>
      <c r="N304" s="1" t="s">
        <v>1380</v>
      </c>
      <c r="O304" s="1" t="str">
        <f>INT(K304)&amp;"°"&amp;INT(MOD(K304,1)*60)&amp;"'"&amp;
ROUND(MOD(MOD(K304,1)*60,1)*60,1)&amp;"""N"</f>
        <v>14°24'4.9"N</v>
      </c>
      <c r="P304" s="1" t="str">
        <f>INT(L304)&amp;"°"&amp;INT(MOD(L304,1)*60)&amp;"'"&amp;
ROUND(MOD(MOD(L304,1)*60,1)*60,1)&amp;"""E"</f>
        <v>107°42'35.2"E</v>
      </c>
      <c r="Q304" s="1" t="str">
        <f>O304 &amp; " " &amp; P304</f>
        <v>14°24'4.9"N 107°42'35.2"E</v>
      </c>
    </row>
    <row r="305" spans="1:17" ht="15.75" customHeight="1" x14ac:dyDescent="0.2">
      <c r="A305" s="1">
        <v>64</v>
      </c>
      <c r="B305" s="1" t="s">
        <v>264</v>
      </c>
      <c r="C305" s="1" t="s">
        <v>15</v>
      </c>
      <c r="D305" s="1" t="s">
        <v>16</v>
      </c>
      <c r="E305" s="1" t="s">
        <v>250</v>
      </c>
      <c r="F305" s="1" t="s">
        <v>251</v>
      </c>
      <c r="G305" s="1" t="s">
        <v>265</v>
      </c>
      <c r="H305" s="1" t="s">
        <v>266</v>
      </c>
      <c r="I305" s="1" t="s">
        <v>21</v>
      </c>
      <c r="J305" s="1" t="s">
        <v>22</v>
      </c>
      <c r="K305" s="2">
        <v>14.507731359999999</v>
      </c>
      <c r="L305" s="2">
        <v>109.0247865</v>
      </c>
      <c r="M305" s="1" t="s">
        <v>265</v>
      </c>
      <c r="N305" s="1" t="s">
        <v>255</v>
      </c>
      <c r="O305" s="1" t="str">
        <f>INT(K305)&amp;"°"&amp;INT(MOD(K305,1)*60)&amp;"'"&amp;
ROUND(MOD(MOD(K305,1)*60,1)*60,1)&amp;"""N"</f>
        <v>14°30'27.8"N</v>
      </c>
      <c r="P305" s="1" t="str">
        <f>INT(L305)&amp;"°"&amp;INT(MOD(L305,1)*60)&amp;"'"&amp;
ROUND(MOD(MOD(L305,1)*60,1)*60,1)&amp;"""E"</f>
        <v>109°1'29.2"E</v>
      </c>
      <c r="Q305" s="1" t="str">
        <f>O305 &amp; " " &amp; P305</f>
        <v>14°30'27.8"N 109°1'29.2"E</v>
      </c>
    </row>
    <row r="306" spans="1:17" ht="15.75" customHeight="1" x14ac:dyDescent="0.2">
      <c r="A306" s="1">
        <v>381</v>
      </c>
      <c r="B306" s="1" t="s">
        <v>1395</v>
      </c>
      <c r="C306" s="1" t="s">
        <v>15</v>
      </c>
      <c r="D306" s="1" t="s">
        <v>16</v>
      </c>
      <c r="E306" s="1" t="s">
        <v>1375</v>
      </c>
      <c r="F306" s="1" t="s">
        <v>1376</v>
      </c>
      <c r="G306" s="1" t="s">
        <v>1396</v>
      </c>
      <c r="H306" s="1" t="s">
        <v>1397</v>
      </c>
      <c r="I306" s="1" t="s">
        <v>21</v>
      </c>
      <c r="J306" s="1" t="s">
        <v>22</v>
      </c>
      <c r="K306" s="2">
        <v>14.542187670000001</v>
      </c>
      <c r="L306" s="2">
        <v>108.18789767</v>
      </c>
      <c r="M306" s="1" t="s">
        <v>1398</v>
      </c>
      <c r="N306" s="1" t="s">
        <v>1380</v>
      </c>
      <c r="O306" s="1" t="str">
        <f>INT(K306)&amp;"°"&amp;INT(MOD(K306,1)*60)&amp;"'"&amp;
ROUND(MOD(MOD(K306,1)*60,1)*60,1)&amp;"""N"</f>
        <v>14°32'31.9"N</v>
      </c>
      <c r="P306" s="1" t="str">
        <f>INT(L306)&amp;"°"&amp;INT(MOD(L306,1)*60)&amp;"'"&amp;
ROUND(MOD(MOD(L306,1)*60,1)*60,1)&amp;"""E"</f>
        <v>108°11'16.4"E</v>
      </c>
      <c r="Q306" s="1" t="str">
        <f>O306 &amp; " " &amp; P306</f>
        <v>14°32'31.9"N 108°11'16.4"E</v>
      </c>
    </row>
    <row r="307" spans="1:17" ht="15.75" customHeight="1" x14ac:dyDescent="0.2">
      <c r="A307" s="1">
        <v>61</v>
      </c>
      <c r="B307" s="1" t="s">
        <v>249</v>
      </c>
      <c r="C307" s="1" t="s">
        <v>15</v>
      </c>
      <c r="D307" s="1" t="s">
        <v>16</v>
      </c>
      <c r="E307" s="1" t="s">
        <v>250</v>
      </c>
      <c r="F307" s="1" t="s">
        <v>251</v>
      </c>
      <c r="G307" s="1" t="s">
        <v>252</v>
      </c>
      <c r="H307" s="1" t="s">
        <v>253</v>
      </c>
      <c r="I307" s="1" t="s">
        <v>21</v>
      </c>
      <c r="J307" s="1" t="s">
        <v>22</v>
      </c>
      <c r="K307" s="2">
        <v>14.55312765</v>
      </c>
      <c r="L307" s="2">
        <v>108.79792458</v>
      </c>
      <c r="M307" s="1" t="s">
        <v>254</v>
      </c>
      <c r="N307" s="1" t="s">
        <v>255</v>
      </c>
      <c r="O307" s="1" t="str">
        <f>INT(K307)&amp;"°"&amp;INT(MOD(K307,1)*60)&amp;"'"&amp;
ROUND(MOD(MOD(K307,1)*60,1)*60,1)&amp;"""N"</f>
        <v>14°33'11.3"N</v>
      </c>
      <c r="P307" s="1" t="str">
        <f>INT(L307)&amp;"°"&amp;INT(MOD(L307,1)*60)&amp;"'"&amp;
ROUND(MOD(MOD(L307,1)*60,1)*60,1)&amp;"""E"</f>
        <v>108°47'52.5"E</v>
      </c>
      <c r="Q307" s="1" t="str">
        <f>O307 &amp; " " &amp; P307</f>
        <v>14°33'11.3"N 108°47'52.5"E</v>
      </c>
    </row>
    <row r="308" spans="1:17" ht="15.75" customHeight="1" x14ac:dyDescent="0.2">
      <c r="A308" s="1">
        <v>377</v>
      </c>
      <c r="B308" s="1" t="s">
        <v>1381</v>
      </c>
      <c r="C308" s="1" t="s">
        <v>15</v>
      </c>
      <c r="D308" s="1" t="s">
        <v>16</v>
      </c>
      <c r="E308" s="1" t="s">
        <v>1375</v>
      </c>
      <c r="F308" s="1" t="s">
        <v>1376</v>
      </c>
      <c r="G308" s="1" t="s">
        <v>1382</v>
      </c>
      <c r="H308" s="1" t="s">
        <v>1383</v>
      </c>
      <c r="I308" s="1" t="s">
        <v>21</v>
      </c>
      <c r="J308" s="1" t="s">
        <v>22</v>
      </c>
      <c r="K308" s="2">
        <v>14.601945430000001</v>
      </c>
      <c r="L308" s="2">
        <v>107.99231033</v>
      </c>
      <c r="M308" s="1" t="s">
        <v>1384</v>
      </c>
      <c r="N308" s="1" t="s">
        <v>1380</v>
      </c>
      <c r="O308" s="1" t="str">
        <f>INT(K308)&amp;"°"&amp;INT(MOD(K308,1)*60)&amp;"'"&amp;
ROUND(MOD(MOD(K308,1)*60,1)*60,1)&amp;"""N"</f>
        <v>14°36'7"N</v>
      </c>
      <c r="P308" s="1" t="str">
        <f>INT(L308)&amp;"°"&amp;INT(MOD(L308,1)*60)&amp;"'"&amp;
ROUND(MOD(MOD(L308,1)*60,1)*60,1)&amp;"""E"</f>
        <v>107°59'32.3"E</v>
      </c>
      <c r="Q308" s="1" t="str">
        <f>O308 &amp; " " &amp; P308</f>
        <v>14°36'7"N 107°59'32.3"E</v>
      </c>
    </row>
    <row r="309" spans="1:17" ht="15.75" customHeight="1" x14ac:dyDescent="0.2">
      <c r="A309" s="1">
        <v>378</v>
      </c>
      <c r="B309" s="1" t="s">
        <v>1385</v>
      </c>
      <c r="C309" s="1" t="s">
        <v>15</v>
      </c>
      <c r="D309" s="1" t="s">
        <v>16</v>
      </c>
      <c r="E309" s="1" t="s">
        <v>1375</v>
      </c>
      <c r="F309" s="1" t="s">
        <v>1376</v>
      </c>
      <c r="G309" s="1" t="s">
        <v>1386</v>
      </c>
      <c r="H309" s="1" t="s">
        <v>1387</v>
      </c>
      <c r="I309" s="1" t="s">
        <v>21</v>
      </c>
      <c r="J309" s="1" t="s">
        <v>22</v>
      </c>
      <c r="K309" s="2">
        <v>14.69319584</v>
      </c>
      <c r="L309" s="2">
        <v>107.81693856</v>
      </c>
      <c r="M309" s="1" t="s">
        <v>1388</v>
      </c>
      <c r="N309" s="1" t="s">
        <v>1380</v>
      </c>
      <c r="O309" s="1" t="str">
        <f>INT(K309)&amp;"°"&amp;INT(MOD(K309,1)*60)&amp;"'"&amp;
ROUND(MOD(MOD(K309,1)*60,1)*60,1)&amp;"""N"</f>
        <v>14°41'35.5"N</v>
      </c>
      <c r="P309" s="1" t="str">
        <f>INT(L309)&amp;"°"&amp;INT(MOD(L309,1)*60)&amp;"'"&amp;
ROUND(MOD(MOD(L309,1)*60,1)*60,1)&amp;"""E"</f>
        <v>107°49'1"E</v>
      </c>
      <c r="Q309" s="1" t="str">
        <f>O309 &amp; " " &amp; P309</f>
        <v>14°41'35.5"N 107°49'1"E</v>
      </c>
    </row>
    <row r="310" spans="1:17" ht="15.75" customHeight="1" x14ac:dyDescent="0.2">
      <c r="A310" s="1">
        <v>383</v>
      </c>
      <c r="B310" s="1" t="s">
        <v>1401</v>
      </c>
      <c r="C310" s="1" t="s">
        <v>15</v>
      </c>
      <c r="D310" s="1" t="s">
        <v>16</v>
      </c>
      <c r="E310" s="1" t="s">
        <v>1375</v>
      </c>
      <c r="F310" s="1" t="s">
        <v>1376</v>
      </c>
      <c r="G310" s="1" t="s">
        <v>1402</v>
      </c>
      <c r="H310" s="1" t="s">
        <v>1403</v>
      </c>
      <c r="I310" s="1" t="s">
        <v>21</v>
      </c>
      <c r="J310" s="1" t="s">
        <v>22</v>
      </c>
      <c r="K310" s="2">
        <v>14.721596079999999</v>
      </c>
      <c r="L310" s="2">
        <v>107.64453955</v>
      </c>
      <c r="M310" s="1" t="s">
        <v>1404</v>
      </c>
      <c r="N310" s="1" t="s">
        <v>1380</v>
      </c>
      <c r="O310" s="1" t="str">
        <f>INT(K310)&amp;"°"&amp;INT(MOD(K310,1)*60)&amp;"'"&amp;
ROUND(MOD(MOD(K310,1)*60,1)*60,1)&amp;"""N"</f>
        <v>14°43'17.7"N</v>
      </c>
      <c r="P310" s="1" t="str">
        <f>INT(L310)&amp;"°"&amp;INT(MOD(L310,1)*60)&amp;"'"&amp;
ROUND(MOD(MOD(L310,1)*60,1)*60,1)&amp;"""E"</f>
        <v>107°38'40.3"E</v>
      </c>
      <c r="Q310" s="1" t="str">
        <f>O310 &amp; " " &amp; P310</f>
        <v>14°43'17.7"N 107°38'40.3"E</v>
      </c>
    </row>
    <row r="311" spans="1:17" ht="15.75" customHeight="1" x14ac:dyDescent="0.2">
      <c r="A311" s="1">
        <v>535</v>
      </c>
      <c r="B311" s="1" t="s">
        <v>1951</v>
      </c>
      <c r="C311" s="1" t="s">
        <v>15</v>
      </c>
      <c r="D311" s="1" t="s">
        <v>16</v>
      </c>
      <c r="E311" s="1" t="s">
        <v>1952</v>
      </c>
      <c r="F311" s="1" t="s">
        <v>1380</v>
      </c>
      <c r="G311" s="1" t="s">
        <v>1953</v>
      </c>
      <c r="H311" s="1" t="s">
        <v>1954</v>
      </c>
      <c r="I311" s="1" t="s">
        <v>21</v>
      </c>
      <c r="J311" s="1" t="s">
        <v>22</v>
      </c>
      <c r="K311" s="2">
        <v>14.726787079999999</v>
      </c>
      <c r="L311" s="2">
        <v>108.69555425</v>
      </c>
      <c r="M311" s="1" t="s">
        <v>866</v>
      </c>
      <c r="N311" s="1" t="s">
        <v>1380</v>
      </c>
      <c r="O311" s="1" t="str">
        <f>INT(K311)&amp;"°"&amp;INT(MOD(K311,1)*60)&amp;"'"&amp;
ROUND(MOD(MOD(K311,1)*60,1)*60,1)&amp;"""N"</f>
        <v>14°43'36.4"N</v>
      </c>
      <c r="P311" s="1" t="str">
        <f>INT(L311)&amp;"°"&amp;INT(MOD(L311,1)*60)&amp;"'"&amp;
ROUND(MOD(MOD(L311,1)*60,1)*60,1)&amp;"""E"</f>
        <v>108°41'44"E</v>
      </c>
      <c r="Q311" s="1" t="str">
        <f>O311 &amp; " " &amp; P311</f>
        <v>14°43'36.4"N 108°41'44"E</v>
      </c>
    </row>
    <row r="312" spans="1:17" ht="15.75" customHeight="1" x14ac:dyDescent="0.2">
      <c r="A312" s="1">
        <v>380</v>
      </c>
      <c r="B312" s="1" t="s">
        <v>1392</v>
      </c>
      <c r="C312" s="1" t="s">
        <v>15</v>
      </c>
      <c r="D312" s="1" t="s">
        <v>16</v>
      </c>
      <c r="E312" s="1" t="s">
        <v>1375</v>
      </c>
      <c r="F312" s="1" t="s">
        <v>1376</v>
      </c>
      <c r="G312" s="1" t="s">
        <v>1393</v>
      </c>
      <c r="H312" s="1" t="s">
        <v>1394</v>
      </c>
      <c r="I312" s="1" t="s">
        <v>21</v>
      </c>
      <c r="J312" s="1" t="s">
        <v>22</v>
      </c>
      <c r="K312" s="2">
        <v>14.767651750000001</v>
      </c>
      <c r="L312" s="2">
        <v>108.31554610000001</v>
      </c>
      <c r="M312" s="1" t="s">
        <v>1393</v>
      </c>
      <c r="N312" s="1" t="s">
        <v>1380</v>
      </c>
      <c r="O312" s="1" t="str">
        <f>INT(K312)&amp;"°"&amp;INT(MOD(K312,1)*60)&amp;"'"&amp;
ROUND(MOD(MOD(K312,1)*60,1)*60,1)&amp;"""N"</f>
        <v>14°46'3.5"N</v>
      </c>
      <c r="P312" s="1" t="str">
        <f>INT(L312)&amp;"°"&amp;INT(MOD(L312,1)*60)&amp;"'"&amp;
ROUND(MOD(MOD(L312,1)*60,1)*60,1)&amp;"""E"</f>
        <v>108°18'56"E</v>
      </c>
      <c r="Q312" s="1" t="str">
        <f>O312 &amp; " " &amp; P312</f>
        <v>14°46'3.5"N 108°18'56"E</v>
      </c>
    </row>
    <row r="313" spans="1:17" ht="15.75" customHeight="1" x14ac:dyDescent="0.2">
      <c r="A313" s="1">
        <v>537</v>
      </c>
      <c r="B313" s="1" t="s">
        <v>1958</v>
      </c>
      <c r="C313" s="1" t="s">
        <v>15</v>
      </c>
      <c r="D313" s="1" t="s">
        <v>16</v>
      </c>
      <c r="E313" s="1" t="s">
        <v>1952</v>
      </c>
      <c r="F313" s="1" t="s">
        <v>1380</v>
      </c>
      <c r="G313" s="1" t="s">
        <v>1959</v>
      </c>
      <c r="H313" s="1" t="s">
        <v>1960</v>
      </c>
      <c r="I313" s="1" t="s">
        <v>21</v>
      </c>
      <c r="J313" s="1" t="s">
        <v>22</v>
      </c>
      <c r="K313" s="2">
        <v>14.78050503</v>
      </c>
      <c r="L313" s="2">
        <v>108.96138740000001</v>
      </c>
      <c r="M313" s="1" t="s">
        <v>1959</v>
      </c>
      <c r="N313" s="1" t="s">
        <v>1380</v>
      </c>
      <c r="O313" s="1" t="str">
        <f>INT(K313)&amp;"°"&amp;INT(MOD(K313,1)*60)&amp;"'"&amp;
ROUND(MOD(MOD(K313,1)*60,1)*60,1)&amp;"""N"</f>
        <v>14°46'49.8"N</v>
      </c>
      <c r="P313" s="1" t="str">
        <f>INT(L313)&amp;"°"&amp;INT(MOD(L313,1)*60)&amp;"'"&amp;
ROUND(MOD(MOD(L313,1)*60,1)*60,1)&amp;"""E"</f>
        <v>108°57'41"E</v>
      </c>
      <c r="Q313" s="1" t="str">
        <f>O313 &amp; " " &amp; P313</f>
        <v>14°46'49.8"N 108°57'41"E</v>
      </c>
    </row>
    <row r="314" spans="1:17" ht="15.75" customHeight="1" x14ac:dyDescent="0.2">
      <c r="A314" s="1">
        <v>385</v>
      </c>
      <c r="B314" s="1" t="s">
        <v>1409</v>
      </c>
      <c r="C314" s="1" t="s">
        <v>15</v>
      </c>
      <c r="D314" s="1" t="s">
        <v>16</v>
      </c>
      <c r="E314" s="1" t="s">
        <v>1375</v>
      </c>
      <c r="F314" s="1" t="s">
        <v>1376</v>
      </c>
      <c r="G314" s="1" t="s">
        <v>1410</v>
      </c>
      <c r="H314" s="1" t="s">
        <v>1411</v>
      </c>
      <c r="I314" s="1" t="s">
        <v>21</v>
      </c>
      <c r="J314" s="1" t="s">
        <v>22</v>
      </c>
      <c r="K314" s="2">
        <v>14.894347359999999</v>
      </c>
      <c r="L314" s="2">
        <v>107.95374723</v>
      </c>
      <c r="M314" s="1" t="s">
        <v>1410</v>
      </c>
      <c r="N314" s="1" t="s">
        <v>1380</v>
      </c>
      <c r="O314" s="1" t="str">
        <f>INT(K314)&amp;"°"&amp;INT(MOD(K314,1)*60)&amp;"'"&amp;
ROUND(MOD(MOD(K314,1)*60,1)*60,1)&amp;"""N"</f>
        <v>14°53'39.7"N</v>
      </c>
      <c r="P314" s="1" t="str">
        <f>INT(L314)&amp;"°"&amp;INT(MOD(L314,1)*60)&amp;"'"&amp;
ROUND(MOD(MOD(L314,1)*60,1)*60,1)&amp;"""E"</f>
        <v>107°57'13.5"E</v>
      </c>
      <c r="Q314" s="1" t="str">
        <f>O314 &amp; " " &amp; P314</f>
        <v>14°53'39.7"N 107°57'13.5"E</v>
      </c>
    </row>
    <row r="315" spans="1:17" ht="15.75" customHeight="1" x14ac:dyDescent="0.2">
      <c r="A315" s="1">
        <v>539</v>
      </c>
      <c r="B315" s="1" t="s">
        <v>1964</v>
      </c>
      <c r="C315" s="1" t="s">
        <v>15</v>
      </c>
      <c r="D315" s="1" t="s">
        <v>16</v>
      </c>
      <c r="E315" s="1" t="s">
        <v>1952</v>
      </c>
      <c r="F315" s="1" t="s">
        <v>1380</v>
      </c>
      <c r="G315" s="1" t="s">
        <v>1965</v>
      </c>
      <c r="H315" s="1" t="s">
        <v>1965</v>
      </c>
      <c r="I315" s="1" t="s">
        <v>21</v>
      </c>
      <c r="J315" s="1" t="s">
        <v>22</v>
      </c>
      <c r="K315" s="2">
        <v>14.948056169999999</v>
      </c>
      <c r="L315" s="2">
        <v>108.67395997</v>
      </c>
      <c r="M315" s="1" t="s">
        <v>1965</v>
      </c>
      <c r="N315" s="1" t="s">
        <v>1380</v>
      </c>
      <c r="O315" s="1" t="str">
        <f>INT(K315)&amp;"°"&amp;INT(MOD(K315,1)*60)&amp;"'"&amp;
ROUND(MOD(MOD(K315,1)*60,1)*60,1)&amp;"""N"</f>
        <v>14°56'53"N</v>
      </c>
      <c r="P315" s="1" t="str">
        <f>INT(L315)&amp;"°"&amp;INT(MOD(L315,1)*60)&amp;"'"&amp;
ROUND(MOD(MOD(L315,1)*60,1)*60,1)&amp;"""E"</f>
        <v>108°40'26.3"E</v>
      </c>
      <c r="Q315" s="1" t="str">
        <f>O315 &amp; " " &amp; P315</f>
        <v>14°56'53"N 108°40'26.3"E</v>
      </c>
    </row>
    <row r="316" spans="1:17" ht="15.75" customHeight="1" x14ac:dyDescent="0.2">
      <c r="A316" s="1">
        <v>540</v>
      </c>
      <c r="B316" s="1" t="s">
        <v>1966</v>
      </c>
      <c r="C316" s="1" t="s">
        <v>15</v>
      </c>
      <c r="D316" s="1" t="s">
        <v>16</v>
      </c>
      <c r="E316" s="1" t="s">
        <v>1952</v>
      </c>
      <c r="F316" s="1" t="s">
        <v>1380</v>
      </c>
      <c r="G316" s="1" t="s">
        <v>1967</v>
      </c>
      <c r="H316" s="1" t="s">
        <v>1968</v>
      </c>
      <c r="I316" s="1" t="s">
        <v>21</v>
      </c>
      <c r="J316" s="1" t="s">
        <v>22</v>
      </c>
      <c r="K316" s="2">
        <v>14.959909700000001</v>
      </c>
      <c r="L316" s="2">
        <v>108.87954129000001</v>
      </c>
      <c r="M316" s="1" t="s">
        <v>1967</v>
      </c>
      <c r="N316" s="1" t="s">
        <v>1380</v>
      </c>
      <c r="O316" s="1" t="str">
        <f>INT(K316)&amp;"°"&amp;INT(MOD(K316,1)*60)&amp;"'"&amp;
ROUND(MOD(MOD(K316,1)*60,1)*60,1)&amp;"""N"</f>
        <v>14°57'35.7"N</v>
      </c>
      <c r="P316" s="1" t="str">
        <f>INT(L316)&amp;"°"&amp;INT(MOD(L316,1)*60)&amp;"'"&amp;
ROUND(MOD(MOD(L316,1)*60,1)*60,1)&amp;"""E"</f>
        <v>108°52'46.3"E</v>
      </c>
      <c r="Q316" s="1" t="str">
        <f>O316 &amp; " " &amp; P316</f>
        <v>14°57'35.7"N 108°52'46.3"E</v>
      </c>
    </row>
    <row r="317" spans="1:17" ht="15.75" customHeight="1" x14ac:dyDescent="0.2">
      <c r="A317" s="1">
        <v>544</v>
      </c>
      <c r="B317" s="1" t="s">
        <v>1980</v>
      </c>
      <c r="C317" s="1" t="s">
        <v>15</v>
      </c>
      <c r="D317" s="1" t="s">
        <v>16</v>
      </c>
      <c r="E317" s="1" t="s">
        <v>1952</v>
      </c>
      <c r="F317" s="1" t="s">
        <v>1380</v>
      </c>
      <c r="G317" s="1" t="s">
        <v>940</v>
      </c>
      <c r="H317" s="1" t="s">
        <v>941</v>
      </c>
      <c r="I317" s="1" t="s">
        <v>21</v>
      </c>
      <c r="J317" s="1" t="s">
        <v>22</v>
      </c>
      <c r="K317" s="2">
        <v>14.97025468</v>
      </c>
      <c r="L317" s="2">
        <v>108.35704131</v>
      </c>
      <c r="M317" s="1" t="s">
        <v>940</v>
      </c>
      <c r="N317" s="1" t="s">
        <v>1380</v>
      </c>
      <c r="O317" s="1" t="str">
        <f>INT(K317)&amp;"°"&amp;INT(MOD(K317,1)*60)&amp;"'"&amp;
ROUND(MOD(MOD(K317,1)*60,1)*60,1)&amp;"""N"</f>
        <v>14°58'12.9"N</v>
      </c>
      <c r="P317" s="1" t="str">
        <f>INT(L317)&amp;"°"&amp;INT(MOD(L317,1)*60)&amp;"'"&amp;
ROUND(MOD(MOD(L317,1)*60,1)*60,1)&amp;"""E"</f>
        <v>108°21'25.3"E</v>
      </c>
      <c r="Q317" s="1" t="str">
        <f>O317 &amp; " " &amp; P317</f>
        <v>14°58'12.9"N 108°21'25.3"E</v>
      </c>
    </row>
    <row r="318" spans="1:17" ht="15.75" customHeight="1" x14ac:dyDescent="0.2">
      <c r="A318" s="1">
        <v>541</v>
      </c>
      <c r="B318" s="1" t="s">
        <v>1969</v>
      </c>
      <c r="C318" s="1" t="s">
        <v>15</v>
      </c>
      <c r="D318" s="1" t="s">
        <v>16</v>
      </c>
      <c r="E318" s="1" t="s">
        <v>1952</v>
      </c>
      <c r="F318" s="1" t="s">
        <v>1380</v>
      </c>
      <c r="G318" s="1" t="s">
        <v>1970</v>
      </c>
      <c r="H318" s="1" t="s">
        <v>1971</v>
      </c>
      <c r="I318" s="1" t="s">
        <v>21</v>
      </c>
      <c r="J318" s="1" t="s">
        <v>22</v>
      </c>
      <c r="K318" s="2">
        <v>14.98077703</v>
      </c>
      <c r="L318" s="2">
        <v>108.77547681999999</v>
      </c>
      <c r="M318" s="1" t="s">
        <v>1972</v>
      </c>
      <c r="N318" s="1" t="s">
        <v>1380</v>
      </c>
      <c r="O318" s="1" t="str">
        <f>INT(K318)&amp;"°"&amp;INT(MOD(K318,1)*60)&amp;"'"&amp;
ROUND(MOD(MOD(K318,1)*60,1)*60,1)&amp;"""N"</f>
        <v>14°58'50.8"N</v>
      </c>
      <c r="P318" s="1" t="str">
        <f>INT(L318)&amp;"°"&amp;INT(MOD(L318,1)*60)&amp;"'"&amp;
ROUND(MOD(MOD(L318,1)*60,1)*60,1)&amp;"""E"</f>
        <v>108°46'31.7"E</v>
      </c>
      <c r="Q318" s="1" t="str">
        <f>O318 &amp; " " &amp; P318</f>
        <v>14°58'50.8"N 108°46'31.7"E</v>
      </c>
    </row>
    <row r="319" spans="1:17" ht="15.75" customHeight="1" x14ac:dyDescent="0.2">
      <c r="A319" s="1">
        <v>543</v>
      </c>
      <c r="B319" s="1" t="s">
        <v>1976</v>
      </c>
      <c r="C319" s="1" t="s">
        <v>15</v>
      </c>
      <c r="D319" s="1" t="s">
        <v>16</v>
      </c>
      <c r="E319" s="1" t="s">
        <v>1952</v>
      </c>
      <c r="F319" s="1" t="s">
        <v>1380</v>
      </c>
      <c r="G319" s="1" t="s">
        <v>1977</v>
      </c>
      <c r="H319" s="1" t="s">
        <v>1978</v>
      </c>
      <c r="I319" s="1" t="s">
        <v>21</v>
      </c>
      <c r="J319" s="1" t="s">
        <v>22</v>
      </c>
      <c r="K319" s="2">
        <v>14.98441772</v>
      </c>
      <c r="L319" s="2">
        <v>108.52031562000001</v>
      </c>
      <c r="M319" s="1" t="s">
        <v>1979</v>
      </c>
      <c r="N319" s="1" t="s">
        <v>1380</v>
      </c>
      <c r="O319" s="1" t="str">
        <f>INT(K319)&amp;"°"&amp;INT(MOD(K319,1)*60)&amp;"'"&amp;
ROUND(MOD(MOD(K319,1)*60,1)*60,1)&amp;"""N"</f>
        <v>14°59'3.9"N</v>
      </c>
      <c r="P319" s="1" t="str">
        <f>INT(L319)&amp;"°"&amp;INT(MOD(L319,1)*60)&amp;"'"&amp;
ROUND(MOD(MOD(L319,1)*60,1)*60,1)&amp;"""E"</f>
        <v>108°31'13.1"E</v>
      </c>
      <c r="Q319" s="1" t="str">
        <f>O319 &amp; " " &amp; P319</f>
        <v>14°59'3.9"N 108°31'13.1"E</v>
      </c>
    </row>
    <row r="320" spans="1:17" ht="15.75" customHeight="1" x14ac:dyDescent="0.2">
      <c r="A320" s="1">
        <v>376</v>
      </c>
      <c r="B320" s="1" t="s">
        <v>1374</v>
      </c>
      <c r="C320" s="1" t="s">
        <v>15</v>
      </c>
      <c r="D320" s="1" t="s">
        <v>16</v>
      </c>
      <c r="E320" s="1" t="s">
        <v>1375</v>
      </c>
      <c r="F320" s="1" t="s">
        <v>1376</v>
      </c>
      <c r="G320" s="1" t="s">
        <v>1377</v>
      </c>
      <c r="H320" s="1" t="s">
        <v>1378</v>
      </c>
      <c r="I320" s="1" t="s">
        <v>21</v>
      </c>
      <c r="J320" s="1" t="s">
        <v>22</v>
      </c>
      <c r="K320" s="2">
        <v>15.09202745</v>
      </c>
      <c r="L320" s="2">
        <v>107.72428856000001</v>
      </c>
      <c r="M320" s="1" t="s">
        <v>1379</v>
      </c>
      <c r="N320" s="1" t="s">
        <v>1380</v>
      </c>
      <c r="O320" s="1" t="str">
        <f>INT(K320)&amp;"°"&amp;INT(MOD(K320,1)*60)&amp;"'"&amp;
ROUND(MOD(MOD(K320,1)*60,1)*60,1)&amp;"""N"</f>
        <v>15°5'31.3"N</v>
      </c>
      <c r="P320" s="1" t="str">
        <f>INT(L320)&amp;"°"&amp;INT(MOD(L320,1)*60)&amp;"'"&amp;
ROUND(MOD(MOD(L320,1)*60,1)*60,1)&amp;"""E"</f>
        <v>107°43'27.4"E</v>
      </c>
      <c r="Q320" s="1" t="str">
        <f>O320 &amp; " " &amp; P320</f>
        <v>15°5'31.3"N 107°43'27.4"E</v>
      </c>
    </row>
    <row r="321" spans="1:17" ht="15.75" customHeight="1" x14ac:dyDescent="0.2">
      <c r="A321" s="1">
        <v>548</v>
      </c>
      <c r="B321" s="1" t="s">
        <v>1990</v>
      </c>
      <c r="C321" s="1" t="s">
        <v>15</v>
      </c>
      <c r="D321" s="1" t="s">
        <v>16</v>
      </c>
      <c r="E321" s="1" t="s">
        <v>1952</v>
      </c>
      <c r="F321" s="1" t="s">
        <v>1380</v>
      </c>
      <c r="G321" s="1" t="s">
        <v>1991</v>
      </c>
      <c r="H321" s="1" t="s">
        <v>1992</v>
      </c>
      <c r="I321" s="1" t="s">
        <v>21</v>
      </c>
      <c r="J321" s="1" t="s">
        <v>22</v>
      </c>
      <c r="K321" s="2">
        <v>15.09363396</v>
      </c>
      <c r="L321" s="2">
        <v>108.74162109</v>
      </c>
      <c r="M321" s="1" t="s">
        <v>1993</v>
      </c>
      <c r="N321" s="1" t="s">
        <v>1380</v>
      </c>
      <c r="O321" s="1" t="str">
        <f>INT(K321)&amp;"°"&amp;INT(MOD(K321,1)*60)&amp;"'"&amp;
ROUND(MOD(MOD(K321,1)*60,1)*60,1)&amp;"""N"</f>
        <v>15°5'37.1"N</v>
      </c>
      <c r="P321" s="1" t="str">
        <f>INT(L321)&amp;"°"&amp;INT(MOD(L321,1)*60)&amp;"'"&amp;
ROUND(MOD(MOD(L321,1)*60,1)*60,1)&amp;"""E"</f>
        <v>108°44'29.8"E</v>
      </c>
      <c r="Q321" s="1" t="str">
        <f>O321 &amp; " " &amp; P321</f>
        <v>15°5'37.1"N 108°44'29.8"E</v>
      </c>
    </row>
    <row r="322" spans="1:17" ht="15.75" customHeight="1" x14ac:dyDescent="0.2">
      <c r="A322" s="1">
        <v>525</v>
      </c>
      <c r="B322" s="1" t="s">
        <v>1914</v>
      </c>
      <c r="C322" s="1" t="s">
        <v>15</v>
      </c>
      <c r="D322" s="1" t="s">
        <v>16</v>
      </c>
      <c r="E322" s="1" t="s">
        <v>1885</v>
      </c>
      <c r="F322" s="1" t="s">
        <v>1886</v>
      </c>
      <c r="G322" s="1" t="s">
        <v>1915</v>
      </c>
      <c r="H322" s="1" t="s">
        <v>1916</v>
      </c>
      <c r="I322" s="1" t="s">
        <v>21</v>
      </c>
      <c r="J322" s="1" t="s">
        <v>22</v>
      </c>
      <c r="K322" s="2">
        <v>15.13323701</v>
      </c>
      <c r="L322" s="2">
        <v>108.07912367</v>
      </c>
      <c r="M322" s="1" t="s">
        <v>1917</v>
      </c>
      <c r="N322" s="1" t="s">
        <v>510</v>
      </c>
      <c r="O322" s="1" t="str">
        <f>INT(K322)&amp;"°"&amp;INT(MOD(K322,1)*60)&amp;"'"&amp;
ROUND(MOD(MOD(K322,1)*60,1)*60,1)&amp;"""N"</f>
        <v>15°7'59.7"N</v>
      </c>
      <c r="P322" s="1" t="str">
        <f>INT(L322)&amp;"°"&amp;INT(MOD(L322,1)*60)&amp;"'"&amp;
ROUND(MOD(MOD(L322,1)*60,1)*60,1)&amp;"""E"</f>
        <v>108°4'44.8"E</v>
      </c>
      <c r="Q322" s="1" t="str">
        <f>O322 &amp; " " &amp; P322</f>
        <v>15°7'59.7"N 108°4'44.8"E</v>
      </c>
    </row>
    <row r="323" spans="1:17" ht="15.75" customHeight="1" x14ac:dyDescent="0.2">
      <c r="A323" s="1">
        <v>542</v>
      </c>
      <c r="B323" s="1" t="s">
        <v>1973</v>
      </c>
      <c r="C323" s="1" t="s">
        <v>15</v>
      </c>
      <c r="D323" s="1" t="s">
        <v>16</v>
      </c>
      <c r="E323" s="1" t="s">
        <v>1952</v>
      </c>
      <c r="F323" s="1" t="s">
        <v>1380</v>
      </c>
      <c r="G323" s="1" t="s">
        <v>1380</v>
      </c>
      <c r="H323" s="1" t="s">
        <v>1974</v>
      </c>
      <c r="I323" s="1" t="s">
        <v>27</v>
      </c>
      <c r="J323" s="1" t="s">
        <v>28</v>
      </c>
      <c r="K323" s="2">
        <v>15.15462194</v>
      </c>
      <c r="L323" s="2">
        <v>108.84193703</v>
      </c>
      <c r="M323" s="1" t="s">
        <v>1975</v>
      </c>
      <c r="N323" s="1" t="s">
        <v>1380</v>
      </c>
      <c r="O323" s="1" t="str">
        <f>INT(K323)&amp;"°"&amp;INT(MOD(K323,1)*60)&amp;"'"&amp;
ROUND(MOD(MOD(K323,1)*60,1)*60,1)&amp;"""N"</f>
        <v>15°9'16.6"N</v>
      </c>
      <c r="P323" s="1" t="str">
        <f>INT(L323)&amp;"°"&amp;INT(MOD(L323,1)*60)&amp;"'"&amp;
ROUND(MOD(MOD(L323,1)*60,1)*60,1)&amp;"""E"</f>
        <v>108°50'31"E</v>
      </c>
      <c r="Q323" s="1" t="str">
        <f>O323 &amp; " " &amp; P323</f>
        <v>15°9'16.6"N 108°50'31"E</v>
      </c>
    </row>
    <row r="324" spans="1:17" ht="15.75" customHeight="1" x14ac:dyDescent="0.2">
      <c r="A324" s="1">
        <v>546</v>
      </c>
      <c r="B324" s="1" t="s">
        <v>1984</v>
      </c>
      <c r="C324" s="1" t="s">
        <v>15</v>
      </c>
      <c r="D324" s="1" t="s">
        <v>16</v>
      </c>
      <c r="E324" s="1" t="s">
        <v>1952</v>
      </c>
      <c r="F324" s="1" t="s">
        <v>1380</v>
      </c>
      <c r="G324" s="1" t="s">
        <v>1985</v>
      </c>
      <c r="H324" s="1" t="s">
        <v>1986</v>
      </c>
      <c r="I324" s="1" t="s">
        <v>21</v>
      </c>
      <c r="J324" s="1" t="s">
        <v>22</v>
      </c>
      <c r="K324" s="2">
        <v>15.17300314</v>
      </c>
      <c r="L324" s="2">
        <v>108.36729137</v>
      </c>
      <c r="M324" s="1" t="s">
        <v>1985</v>
      </c>
      <c r="N324" s="1" t="s">
        <v>1380</v>
      </c>
      <c r="O324" s="1" t="str">
        <f>INT(K324)&amp;"°"&amp;INT(MOD(K324,1)*60)&amp;"'"&amp;
ROUND(MOD(MOD(K324,1)*60,1)*60,1)&amp;"""N"</f>
        <v>15°10'22.8"N</v>
      </c>
      <c r="P324" s="1" t="str">
        <f>INT(L324)&amp;"°"&amp;INT(MOD(L324,1)*60)&amp;"'"&amp;
ROUND(MOD(MOD(L324,1)*60,1)*60,1)&amp;"""E"</f>
        <v>108°22'2.2"E</v>
      </c>
      <c r="Q324" s="1" t="str">
        <f>O324 &amp; " " &amp; P324</f>
        <v>15°10'22.8"N 108°22'2.2"E</v>
      </c>
    </row>
    <row r="325" spans="1:17" ht="15.75" customHeight="1" x14ac:dyDescent="0.2">
      <c r="A325" s="1">
        <v>545</v>
      </c>
      <c r="B325" s="1" t="s">
        <v>1981</v>
      </c>
      <c r="C325" s="1" t="s">
        <v>15</v>
      </c>
      <c r="D325" s="1" t="s">
        <v>16</v>
      </c>
      <c r="E325" s="1" t="s">
        <v>1952</v>
      </c>
      <c r="F325" s="1" t="s">
        <v>1380</v>
      </c>
      <c r="G325" s="1" t="s">
        <v>1982</v>
      </c>
      <c r="H325" s="1" t="s">
        <v>1983</v>
      </c>
      <c r="I325" s="1" t="s">
        <v>21</v>
      </c>
      <c r="J325" s="1" t="s">
        <v>22</v>
      </c>
      <c r="K325" s="2">
        <v>15.196121509999999</v>
      </c>
      <c r="L325" s="2">
        <v>108.70384313</v>
      </c>
      <c r="M325" s="1" t="s">
        <v>1982</v>
      </c>
      <c r="N325" s="1" t="s">
        <v>1380</v>
      </c>
      <c r="O325" s="1" t="str">
        <f>INT(K325)&amp;"°"&amp;INT(MOD(K325,1)*60)&amp;"'"&amp;
ROUND(MOD(MOD(K325,1)*60,1)*60,1)&amp;"""N"</f>
        <v>15°11'46"N</v>
      </c>
      <c r="P325" s="1" t="str">
        <f>INT(L325)&amp;"°"&amp;INT(MOD(L325,1)*60)&amp;"'"&amp;
ROUND(MOD(MOD(L325,1)*60,1)*60,1)&amp;"""E"</f>
        <v>108°42'13.8"E</v>
      </c>
      <c r="Q325" s="1" t="str">
        <f>O325 &amp; " " &amp; P325</f>
        <v>15°11'46"N 108°42'13.8"E</v>
      </c>
    </row>
    <row r="326" spans="1:17" ht="15.75" customHeight="1" x14ac:dyDescent="0.2">
      <c r="A326" s="1">
        <v>547</v>
      </c>
      <c r="B326" s="1" t="s">
        <v>1987</v>
      </c>
      <c r="C326" s="1" t="s">
        <v>15</v>
      </c>
      <c r="D326" s="1" t="s">
        <v>16</v>
      </c>
      <c r="E326" s="1" t="s">
        <v>1952</v>
      </c>
      <c r="F326" s="1" t="s">
        <v>1380</v>
      </c>
      <c r="G326" s="1" t="s">
        <v>1988</v>
      </c>
      <c r="H326" s="1" t="s">
        <v>1989</v>
      </c>
      <c r="I326" s="1" t="s">
        <v>21</v>
      </c>
      <c r="J326" s="1" t="s">
        <v>22</v>
      </c>
      <c r="K326" s="2">
        <v>15.237315669999999</v>
      </c>
      <c r="L326" s="2">
        <v>108.50621012000001</v>
      </c>
      <c r="M326" s="1" t="s">
        <v>1988</v>
      </c>
      <c r="N326" s="1" t="s">
        <v>1380</v>
      </c>
      <c r="O326" s="1" t="str">
        <f>INT(K326)&amp;"°"&amp;INT(MOD(K326,1)*60)&amp;"'"&amp;
ROUND(MOD(MOD(K326,1)*60,1)*60,1)&amp;"""N"</f>
        <v>15°14'14.3"N</v>
      </c>
      <c r="P326" s="1" t="str">
        <f>INT(L326)&amp;"°"&amp;INT(MOD(L326,1)*60)&amp;"'"&amp;
ROUND(MOD(MOD(L326,1)*60,1)*60,1)&amp;"""E"</f>
        <v>108°30'22.4"E</v>
      </c>
      <c r="Q326" s="1" t="str">
        <f>O326 &amp; " " &amp; P326</f>
        <v>15°14'14.3"N 108°30'22.4"E</v>
      </c>
    </row>
    <row r="327" spans="1:17" ht="15.75" customHeight="1" x14ac:dyDescent="0.2">
      <c r="A327" s="1">
        <v>536</v>
      </c>
      <c r="B327" s="1" t="s">
        <v>1955</v>
      </c>
      <c r="C327" s="1" t="s">
        <v>15</v>
      </c>
      <c r="D327" s="1" t="s">
        <v>16</v>
      </c>
      <c r="E327" s="1" t="s">
        <v>1952</v>
      </c>
      <c r="F327" s="1" t="s">
        <v>1380</v>
      </c>
      <c r="G327" s="1" t="s">
        <v>1956</v>
      </c>
      <c r="H327" s="1" t="s">
        <v>1957</v>
      </c>
      <c r="I327" s="1" t="s">
        <v>21</v>
      </c>
      <c r="J327" s="1" t="s">
        <v>22</v>
      </c>
      <c r="K327" s="2">
        <v>15.30486056</v>
      </c>
      <c r="L327" s="2">
        <v>108.75533025</v>
      </c>
      <c r="M327" s="1" t="s">
        <v>1956</v>
      </c>
      <c r="N327" s="1" t="s">
        <v>1380</v>
      </c>
      <c r="O327" s="1" t="str">
        <f>INT(K327)&amp;"°"&amp;INT(MOD(K327,1)*60)&amp;"'"&amp;
ROUND(MOD(MOD(K327,1)*60,1)*60,1)&amp;"""N"</f>
        <v>15°18'17.5"N</v>
      </c>
      <c r="P327" s="1" t="str">
        <f>INT(L327)&amp;"°"&amp;INT(MOD(L327,1)*60)&amp;"'"&amp;
ROUND(MOD(MOD(L327,1)*60,1)*60,1)&amp;"""E"</f>
        <v>108°45'19.2"E</v>
      </c>
      <c r="Q327" s="1" t="str">
        <f>O327 &amp; " " &amp; P327</f>
        <v>15°18'17.5"N 108°45'19.2"E</v>
      </c>
    </row>
    <row r="328" spans="1:17" ht="15.75" customHeight="1" x14ac:dyDescent="0.2">
      <c r="A328" s="1">
        <v>517</v>
      </c>
      <c r="B328" s="1" t="s">
        <v>1884</v>
      </c>
      <c r="C328" s="1" t="s">
        <v>15</v>
      </c>
      <c r="D328" s="1" t="s">
        <v>16</v>
      </c>
      <c r="E328" s="1" t="s">
        <v>1885</v>
      </c>
      <c r="F328" s="1" t="s">
        <v>1886</v>
      </c>
      <c r="G328" s="1" t="s">
        <v>1887</v>
      </c>
      <c r="H328" s="1" t="s">
        <v>1888</v>
      </c>
      <c r="I328" s="1" t="s">
        <v>21</v>
      </c>
      <c r="J328" s="1" t="s">
        <v>22</v>
      </c>
      <c r="K328" s="2">
        <v>15.30966082</v>
      </c>
      <c r="L328" s="2">
        <v>108.20952053000001</v>
      </c>
      <c r="M328" s="1" t="s">
        <v>1889</v>
      </c>
      <c r="N328" s="1" t="s">
        <v>510</v>
      </c>
      <c r="O328" s="1" t="str">
        <f>INT(K328)&amp;"°"&amp;INT(MOD(K328,1)*60)&amp;"'"&amp;
ROUND(MOD(MOD(K328,1)*60,1)*60,1)&amp;"""N"</f>
        <v>15°18'34.8"N</v>
      </c>
      <c r="P328" s="1" t="str">
        <f>INT(L328)&amp;"°"&amp;INT(MOD(L328,1)*60)&amp;"'"&amp;
ROUND(MOD(MOD(L328,1)*60,1)*60,1)&amp;"""E"</f>
        <v>108°12'34.3"E</v>
      </c>
      <c r="Q328" s="1" t="str">
        <f>O328 &amp; " " &amp; P328</f>
        <v>15°18'34.8"N 108°12'34.3"E</v>
      </c>
    </row>
    <row r="329" spans="1:17" ht="15.75" customHeight="1" x14ac:dyDescent="0.2">
      <c r="A329" s="1">
        <v>538</v>
      </c>
      <c r="B329" s="1" t="s">
        <v>1961</v>
      </c>
      <c r="C329" s="1" t="s">
        <v>15</v>
      </c>
      <c r="D329" s="1" t="s">
        <v>16</v>
      </c>
      <c r="E329" s="1" t="s">
        <v>1952</v>
      </c>
      <c r="F329" s="1" t="s">
        <v>1380</v>
      </c>
      <c r="G329" s="1" t="s">
        <v>1962</v>
      </c>
      <c r="H329" s="1" t="s">
        <v>1963</v>
      </c>
      <c r="I329" s="1" t="s">
        <v>21</v>
      </c>
      <c r="J329" s="1" t="s">
        <v>22</v>
      </c>
      <c r="K329" s="2">
        <v>15.384970470000001</v>
      </c>
      <c r="L329" s="2">
        <v>109.11559681999999</v>
      </c>
      <c r="M329" s="1" t="s">
        <v>1962</v>
      </c>
      <c r="N329" s="1" t="s">
        <v>1380</v>
      </c>
      <c r="O329" s="1" t="str">
        <f>INT(K329)&amp;"°"&amp;INT(MOD(K329,1)*60)&amp;"'"&amp;
ROUND(MOD(MOD(K329,1)*60,1)*60,1)&amp;"""N"</f>
        <v>15°23'5.9"N</v>
      </c>
      <c r="P329" s="1" t="str">
        <f>INT(L329)&amp;"°"&amp;INT(MOD(L329,1)*60)&amp;"'"&amp;
ROUND(MOD(MOD(L329,1)*60,1)*60,1)&amp;"""E"</f>
        <v>109°6'56.1"E</v>
      </c>
      <c r="Q329" s="1" t="str">
        <f>O329 &amp; " " &amp; P329</f>
        <v>15°23'5.9"N 109°6'56.1"E</v>
      </c>
    </row>
    <row r="330" spans="1:17" ht="15.75" customHeight="1" x14ac:dyDescent="0.2">
      <c r="A330" s="1">
        <v>529</v>
      </c>
      <c r="B330" s="1" t="s">
        <v>1928</v>
      </c>
      <c r="C330" s="1" t="s">
        <v>15</v>
      </c>
      <c r="D330" s="1" t="s">
        <v>16</v>
      </c>
      <c r="E330" s="1" t="s">
        <v>1885</v>
      </c>
      <c r="F330" s="1" t="s">
        <v>1886</v>
      </c>
      <c r="G330" s="1" t="s">
        <v>1929</v>
      </c>
      <c r="H330" s="1" t="s">
        <v>1930</v>
      </c>
      <c r="I330" s="1" t="s">
        <v>21</v>
      </c>
      <c r="J330" s="1" t="s">
        <v>22</v>
      </c>
      <c r="K330" s="2">
        <v>15.399442459999999</v>
      </c>
      <c r="L330" s="2">
        <v>107.83741503</v>
      </c>
      <c r="M330" s="1" t="s">
        <v>1931</v>
      </c>
      <c r="N330" s="1" t="s">
        <v>510</v>
      </c>
      <c r="O330" s="1" t="str">
        <f>INT(K330)&amp;"°"&amp;INT(MOD(K330,1)*60)&amp;"'"&amp;
ROUND(MOD(MOD(K330,1)*60,1)*60,1)&amp;"""N"</f>
        <v>15°23'58"N</v>
      </c>
      <c r="P330" s="1" t="str">
        <f>INT(L330)&amp;"°"&amp;INT(MOD(L330,1)*60)&amp;"'"&amp;
ROUND(MOD(MOD(L330,1)*60,1)*60,1)&amp;"""E"</f>
        <v>107°50'14.7"E</v>
      </c>
      <c r="Q330" s="1" t="str">
        <f>O330 &amp; " " &amp; P330</f>
        <v>15°23'58"N 107°50'14.7"E</v>
      </c>
    </row>
    <row r="331" spans="1:17" ht="15.75" customHeight="1" x14ac:dyDescent="0.2">
      <c r="A331" s="1">
        <v>527</v>
      </c>
      <c r="B331" s="1" t="s">
        <v>1922</v>
      </c>
      <c r="C331" s="1" t="s">
        <v>15</v>
      </c>
      <c r="D331" s="1" t="s">
        <v>16</v>
      </c>
      <c r="E331" s="1" t="s">
        <v>1885</v>
      </c>
      <c r="F331" s="1" t="s">
        <v>1886</v>
      </c>
      <c r="G331" s="1" t="s">
        <v>1923</v>
      </c>
      <c r="H331" s="1" t="s">
        <v>1924</v>
      </c>
      <c r="I331" s="1" t="s">
        <v>21</v>
      </c>
      <c r="J331" s="1" t="s">
        <v>22</v>
      </c>
      <c r="K331" s="2">
        <v>15.43386944</v>
      </c>
      <c r="L331" s="2">
        <v>108.5688968</v>
      </c>
      <c r="M331" s="1" t="s">
        <v>1925</v>
      </c>
      <c r="N331" s="1" t="s">
        <v>510</v>
      </c>
      <c r="O331" s="1" t="str">
        <f>INT(K331)&amp;"°"&amp;INT(MOD(K331,1)*60)&amp;"'"&amp;
ROUND(MOD(MOD(K331,1)*60,1)*60,1)&amp;"""N"</f>
        <v>15°26'1.9"N</v>
      </c>
      <c r="P331" s="1" t="str">
        <f>INT(L331)&amp;"°"&amp;INT(MOD(L331,1)*60)&amp;"'"&amp;
ROUND(MOD(MOD(L331,1)*60,1)*60,1)&amp;"""E"</f>
        <v>108°34'8"E</v>
      </c>
      <c r="Q331" s="1" t="str">
        <f>O331 &amp; " " &amp; P331</f>
        <v>15°26'1.9"N 108°34'8"E</v>
      </c>
    </row>
    <row r="332" spans="1:17" ht="15.75" customHeight="1" x14ac:dyDescent="0.2">
      <c r="A332" s="1">
        <v>534</v>
      </c>
      <c r="B332" s="1" t="s">
        <v>1947</v>
      </c>
      <c r="C332" s="1" t="s">
        <v>15</v>
      </c>
      <c r="D332" s="1" t="s">
        <v>16</v>
      </c>
      <c r="E332" s="1" t="s">
        <v>1885</v>
      </c>
      <c r="F332" s="1" t="s">
        <v>1886</v>
      </c>
      <c r="G332" s="1" t="s">
        <v>1948</v>
      </c>
      <c r="H332" s="1" t="s">
        <v>1949</v>
      </c>
      <c r="I332" s="1" t="s">
        <v>21</v>
      </c>
      <c r="J332" s="1" t="s">
        <v>22</v>
      </c>
      <c r="K332" s="2">
        <v>15.47733946</v>
      </c>
      <c r="L332" s="2">
        <v>108.26898434</v>
      </c>
      <c r="M332" s="1" t="s">
        <v>1950</v>
      </c>
      <c r="N332" s="1" t="s">
        <v>510</v>
      </c>
      <c r="O332" s="1" t="str">
        <f>INT(K332)&amp;"°"&amp;INT(MOD(K332,1)*60)&amp;"'"&amp;
ROUND(MOD(MOD(K332,1)*60,1)*60,1)&amp;"""N"</f>
        <v>15°28'38.4"N</v>
      </c>
      <c r="P332" s="1" t="str">
        <f>INT(L332)&amp;"°"&amp;INT(MOD(L332,1)*60)&amp;"'"&amp;
ROUND(MOD(MOD(L332,1)*60,1)*60,1)&amp;"""E"</f>
        <v>108°16'8.3"E</v>
      </c>
      <c r="Q332" s="1" t="str">
        <f>O332 &amp; " " &amp; P332</f>
        <v>15°28'38.4"N 108°16'8.3"E</v>
      </c>
    </row>
    <row r="333" spans="1:17" ht="15.75" customHeight="1" x14ac:dyDescent="0.2">
      <c r="A333" s="1">
        <v>528</v>
      </c>
      <c r="B333" s="1" t="s">
        <v>1926</v>
      </c>
      <c r="C333" s="1" t="s">
        <v>15</v>
      </c>
      <c r="D333" s="1" t="s">
        <v>16</v>
      </c>
      <c r="E333" s="1" t="s">
        <v>1885</v>
      </c>
      <c r="F333" s="1" t="s">
        <v>1886</v>
      </c>
      <c r="G333" s="1" t="s">
        <v>1927</v>
      </c>
      <c r="H333" s="1" t="s">
        <v>1785</v>
      </c>
      <c r="I333" s="1" t="s">
        <v>21</v>
      </c>
      <c r="J333" s="1" t="s">
        <v>22</v>
      </c>
      <c r="K333" s="2">
        <v>15.5211889</v>
      </c>
      <c r="L333" s="2">
        <v>108.41320076</v>
      </c>
      <c r="M333" s="1" t="s">
        <v>1927</v>
      </c>
      <c r="N333" s="1" t="s">
        <v>510</v>
      </c>
      <c r="O333" s="1" t="str">
        <f>INT(K333)&amp;"°"&amp;INT(MOD(K333,1)*60)&amp;"'"&amp;
ROUND(MOD(MOD(K333,1)*60,1)*60,1)&amp;"""N"</f>
        <v>15°31'16.3"N</v>
      </c>
      <c r="P333" s="1" t="str">
        <f>INT(L333)&amp;"°"&amp;INT(MOD(L333,1)*60)&amp;"'"&amp;
ROUND(MOD(MOD(L333,1)*60,1)*60,1)&amp;"""E"</f>
        <v>108°24'47.5"E</v>
      </c>
      <c r="Q333" s="1" t="str">
        <f>O333 &amp; " " &amp; P333</f>
        <v>15°31'16.3"N 108°24'47.5"E</v>
      </c>
    </row>
    <row r="334" spans="1:17" ht="15.75" customHeight="1" x14ac:dyDescent="0.2">
      <c r="A334" s="1">
        <v>522</v>
      </c>
      <c r="B334" s="1" t="s">
        <v>1905</v>
      </c>
      <c r="C334" s="1" t="s">
        <v>15</v>
      </c>
      <c r="D334" s="1" t="s">
        <v>16</v>
      </c>
      <c r="E334" s="1" t="s">
        <v>1885</v>
      </c>
      <c r="F334" s="1" t="s">
        <v>1886</v>
      </c>
      <c r="G334" s="1" t="s">
        <v>1906</v>
      </c>
      <c r="H334" s="1" t="s">
        <v>1907</v>
      </c>
      <c r="I334" s="1" t="s">
        <v>21</v>
      </c>
      <c r="J334" s="1" t="s">
        <v>22</v>
      </c>
      <c r="K334" s="2">
        <v>15.53433051</v>
      </c>
      <c r="L334" s="2">
        <v>108.09558493999999</v>
      </c>
      <c r="M334" s="1" t="s">
        <v>1906</v>
      </c>
      <c r="N334" s="1" t="s">
        <v>510</v>
      </c>
      <c r="O334" s="1" t="str">
        <f>INT(K334)&amp;"°"&amp;INT(MOD(K334,1)*60)&amp;"'"&amp;
ROUND(MOD(MOD(K334,1)*60,1)*60,1)&amp;"""N"</f>
        <v>15°32'3.6"N</v>
      </c>
      <c r="P334" s="1" t="str">
        <f>INT(L334)&amp;"°"&amp;INT(MOD(L334,1)*60)&amp;"'"&amp;
ROUND(MOD(MOD(L334,1)*60,1)*60,1)&amp;"""E"</f>
        <v>108°5'44.1"E</v>
      </c>
      <c r="Q334" s="1" t="str">
        <f>O334 &amp; " " &amp; P334</f>
        <v>15°32'3.6"N 108°5'44.1"E</v>
      </c>
    </row>
    <row r="335" spans="1:17" ht="15.75" customHeight="1" x14ac:dyDescent="0.2">
      <c r="A335" s="1">
        <v>531</v>
      </c>
      <c r="B335" s="1" t="s">
        <v>1936</v>
      </c>
      <c r="C335" s="1" t="s">
        <v>15</v>
      </c>
      <c r="D335" s="1" t="s">
        <v>16</v>
      </c>
      <c r="E335" s="1" t="s">
        <v>1885</v>
      </c>
      <c r="F335" s="1" t="s">
        <v>1886</v>
      </c>
      <c r="G335" s="1" t="s">
        <v>1937</v>
      </c>
      <c r="H335" s="1" t="s">
        <v>1938</v>
      </c>
      <c r="I335" s="1" t="s">
        <v>27</v>
      </c>
      <c r="J335" s="1" t="s">
        <v>28</v>
      </c>
      <c r="K335" s="2">
        <v>15.58719323</v>
      </c>
      <c r="L335" s="2">
        <v>108.49449001000001</v>
      </c>
      <c r="M335" s="1" t="s">
        <v>1939</v>
      </c>
      <c r="N335" s="1" t="s">
        <v>510</v>
      </c>
      <c r="O335" s="1" t="str">
        <f>INT(K335)&amp;"°"&amp;INT(MOD(K335,1)*60)&amp;"'"&amp;
ROUND(MOD(MOD(K335,1)*60,1)*60,1)&amp;"""N"</f>
        <v>15°35'13.9"N</v>
      </c>
      <c r="P335" s="1" t="str">
        <f>INT(L335)&amp;"°"&amp;INT(MOD(L335,1)*60)&amp;"'"&amp;
ROUND(MOD(MOD(L335,1)*60,1)*60,1)&amp;"""E"</f>
        <v>108°29'40.2"E</v>
      </c>
      <c r="Q335" s="1" t="str">
        <f>O335 &amp; " " &amp; P335</f>
        <v>15°35'13.9"N 108°29'40.2"E</v>
      </c>
    </row>
    <row r="336" spans="1:17" ht="15.75" customHeight="1" x14ac:dyDescent="0.2">
      <c r="A336" s="1">
        <v>524</v>
      </c>
      <c r="B336" s="1" t="s">
        <v>1912</v>
      </c>
      <c r="C336" s="1" t="s">
        <v>15</v>
      </c>
      <c r="D336" s="1" t="s">
        <v>16</v>
      </c>
      <c r="E336" s="1" t="s">
        <v>1885</v>
      </c>
      <c r="F336" s="1" t="s">
        <v>1886</v>
      </c>
      <c r="G336" s="1" t="s">
        <v>1913</v>
      </c>
      <c r="H336" s="1" t="s">
        <v>1913</v>
      </c>
      <c r="I336" s="1" t="s">
        <v>21</v>
      </c>
      <c r="J336" s="1" t="s">
        <v>22</v>
      </c>
      <c r="K336" s="2">
        <v>15.63075377</v>
      </c>
      <c r="L336" s="2">
        <v>107.59097549000001</v>
      </c>
      <c r="M336" s="1" t="s">
        <v>1913</v>
      </c>
      <c r="N336" s="1" t="s">
        <v>510</v>
      </c>
      <c r="O336" s="1" t="str">
        <f>INT(K336)&amp;"°"&amp;INT(MOD(K336,1)*60)&amp;"'"&amp;
ROUND(MOD(MOD(K336,1)*60,1)*60,1)&amp;"""N"</f>
        <v>15°37'50.7"N</v>
      </c>
      <c r="P336" s="1" t="str">
        <f>INT(L336)&amp;"°"&amp;INT(MOD(L336,1)*60)&amp;"'"&amp;
ROUND(MOD(MOD(L336,1)*60,1)*60,1)&amp;"""E"</f>
        <v>107°35'27.5"E</v>
      </c>
      <c r="Q336" s="1" t="str">
        <f>O336 &amp; " " &amp; P336</f>
        <v>15°37'50.7"N 107°35'27.5"E</v>
      </c>
    </row>
    <row r="337" spans="1:17" ht="15.75" customHeight="1" x14ac:dyDescent="0.2">
      <c r="A337" s="1">
        <v>526</v>
      </c>
      <c r="B337" s="1" t="s">
        <v>1918</v>
      </c>
      <c r="C337" s="1" t="s">
        <v>15</v>
      </c>
      <c r="D337" s="1" t="s">
        <v>16</v>
      </c>
      <c r="E337" s="1" t="s">
        <v>1885</v>
      </c>
      <c r="F337" s="1" t="s">
        <v>1886</v>
      </c>
      <c r="G337" s="1" t="s">
        <v>1919</v>
      </c>
      <c r="H337" s="1" t="s">
        <v>1920</v>
      </c>
      <c r="I337" s="1" t="s">
        <v>21</v>
      </c>
      <c r="J337" s="1" t="s">
        <v>22</v>
      </c>
      <c r="K337" s="2">
        <v>15.66239216</v>
      </c>
      <c r="L337" s="2">
        <v>107.98764789000001</v>
      </c>
      <c r="M337" s="1" t="s">
        <v>1921</v>
      </c>
      <c r="N337" s="1" t="s">
        <v>510</v>
      </c>
      <c r="O337" s="1" t="str">
        <f>INT(K337)&amp;"°"&amp;INT(MOD(K337,1)*60)&amp;"'"&amp;
ROUND(MOD(MOD(K337,1)*60,1)*60,1)&amp;"""N"</f>
        <v>15°39'44.6"N</v>
      </c>
      <c r="P337" s="1" t="str">
        <f>INT(L337)&amp;"°"&amp;INT(MOD(L337,1)*60)&amp;"'"&amp;
ROUND(MOD(MOD(L337,1)*60,1)*60,1)&amp;"""E"</f>
        <v>107°59'15.5"E</v>
      </c>
      <c r="Q337" s="1" t="str">
        <f>O337 &amp; " " &amp; P337</f>
        <v>15°39'44.6"N 107°59'15.5"E</v>
      </c>
    </row>
    <row r="338" spans="1:17" ht="15.75" customHeight="1" x14ac:dyDescent="0.2">
      <c r="A338" s="1">
        <v>533</v>
      </c>
      <c r="B338" s="1" t="s">
        <v>1943</v>
      </c>
      <c r="C338" s="1" t="s">
        <v>15</v>
      </c>
      <c r="D338" s="1" t="s">
        <v>16</v>
      </c>
      <c r="E338" s="1" t="s">
        <v>1885</v>
      </c>
      <c r="F338" s="1" t="s">
        <v>1886</v>
      </c>
      <c r="G338" s="1" t="s">
        <v>1944</v>
      </c>
      <c r="H338" s="1" t="s">
        <v>1945</v>
      </c>
      <c r="I338" s="1" t="s">
        <v>21</v>
      </c>
      <c r="J338" s="1" t="s">
        <v>22</v>
      </c>
      <c r="K338" s="2">
        <v>15.69093709</v>
      </c>
      <c r="L338" s="2">
        <v>108.37333293</v>
      </c>
      <c r="M338" s="1" t="s">
        <v>1946</v>
      </c>
      <c r="N338" s="1" t="s">
        <v>510</v>
      </c>
      <c r="O338" s="1" t="str">
        <f>INT(K338)&amp;"°"&amp;INT(MOD(K338,1)*60)&amp;"'"&amp;
ROUND(MOD(MOD(K338,1)*60,1)*60,1)&amp;"""N"</f>
        <v>15°41'27.4"N</v>
      </c>
      <c r="P338" s="1" t="str">
        <f>INT(L338)&amp;"°"&amp;INT(MOD(L338,1)*60)&amp;"'"&amp;
ROUND(MOD(MOD(L338,1)*60,1)*60,1)&amp;"""E"</f>
        <v>108°22'24"E</v>
      </c>
      <c r="Q338" s="1" t="str">
        <f>O338 &amp; " " &amp; P338</f>
        <v>15°41'27.4"N 108°22'24"E</v>
      </c>
    </row>
    <row r="339" spans="1:17" ht="15.75" customHeight="1" x14ac:dyDescent="0.2">
      <c r="A339" s="1">
        <v>530</v>
      </c>
      <c r="B339" s="1" t="s">
        <v>1932</v>
      </c>
      <c r="C339" s="1" t="s">
        <v>15</v>
      </c>
      <c r="D339" s="1" t="s">
        <v>16</v>
      </c>
      <c r="E339" s="1" t="s">
        <v>1885</v>
      </c>
      <c r="F339" s="1" t="s">
        <v>1886</v>
      </c>
      <c r="G339" s="1" t="s">
        <v>1933</v>
      </c>
      <c r="H339" s="1" t="s">
        <v>1934</v>
      </c>
      <c r="I339" s="1" t="s">
        <v>21</v>
      </c>
      <c r="J339" s="1" t="s">
        <v>22</v>
      </c>
      <c r="K339" s="2">
        <v>15.713345110000001</v>
      </c>
      <c r="L339" s="2">
        <v>108.24343829</v>
      </c>
      <c r="M339" s="1" t="s">
        <v>1935</v>
      </c>
      <c r="N339" s="1" t="s">
        <v>510</v>
      </c>
      <c r="O339" s="1" t="str">
        <f>INT(K339)&amp;"°"&amp;INT(MOD(K339,1)*60)&amp;"'"&amp;
ROUND(MOD(MOD(K339,1)*60,1)*60,1)&amp;"""N"</f>
        <v>15°42'48"N</v>
      </c>
      <c r="P339" s="1" t="str">
        <f>INT(L339)&amp;"°"&amp;INT(MOD(L339,1)*60)&amp;"'"&amp;
ROUND(MOD(MOD(L339,1)*60,1)*60,1)&amp;"""E"</f>
        <v>108°14'36.4"E</v>
      </c>
      <c r="Q339" s="1" t="str">
        <f>O339 &amp; " " &amp; P339</f>
        <v>15°42'48"N 108°14'36.4"E</v>
      </c>
    </row>
    <row r="340" spans="1:17" ht="15.75" customHeight="1" x14ac:dyDescent="0.2">
      <c r="A340" s="1">
        <v>521</v>
      </c>
      <c r="B340" s="1" t="s">
        <v>1902</v>
      </c>
      <c r="C340" s="1" t="s">
        <v>15</v>
      </c>
      <c r="D340" s="1" t="s">
        <v>16</v>
      </c>
      <c r="E340" s="1" t="s">
        <v>1885</v>
      </c>
      <c r="F340" s="1" t="s">
        <v>1886</v>
      </c>
      <c r="G340" s="1" t="s">
        <v>1903</v>
      </c>
      <c r="H340" s="1" t="s">
        <v>1904</v>
      </c>
      <c r="I340" s="1" t="s">
        <v>21</v>
      </c>
      <c r="J340" s="1" t="s">
        <v>22</v>
      </c>
      <c r="K340" s="2">
        <v>15.799900409999999</v>
      </c>
      <c r="L340" s="2">
        <v>108.20189494</v>
      </c>
      <c r="M340" s="1" t="s">
        <v>1903</v>
      </c>
      <c r="N340" s="1" t="s">
        <v>510</v>
      </c>
      <c r="O340" s="1" t="str">
        <f>INT(K340)&amp;"°"&amp;INT(MOD(K340,1)*60)&amp;"'"&amp;
ROUND(MOD(MOD(K340,1)*60,1)*60,1)&amp;"""N"</f>
        <v>15°47'59.6"N</v>
      </c>
      <c r="P340" s="1" t="str">
        <f>INT(L340)&amp;"°"&amp;INT(MOD(L340,1)*60)&amp;"'"&amp;
ROUND(MOD(MOD(L340,1)*60,1)*60,1)&amp;"""E"</f>
        <v>108°12'6.8"E</v>
      </c>
      <c r="Q340" s="1" t="str">
        <f>O340 &amp; " " &amp; P340</f>
        <v>15°47'59.6"N 108°12'6.8"E</v>
      </c>
    </row>
    <row r="341" spans="1:17" ht="15.75" customHeight="1" x14ac:dyDescent="0.2">
      <c r="A341" s="1">
        <v>518</v>
      </c>
      <c r="B341" s="1" t="s">
        <v>1890</v>
      </c>
      <c r="C341" s="1" t="s">
        <v>15</v>
      </c>
      <c r="D341" s="1" t="s">
        <v>16</v>
      </c>
      <c r="E341" s="1" t="s">
        <v>1885</v>
      </c>
      <c r="F341" s="1" t="s">
        <v>1886</v>
      </c>
      <c r="G341" s="1" t="s">
        <v>1891</v>
      </c>
      <c r="H341" s="1" t="s">
        <v>1892</v>
      </c>
      <c r="I341" s="1" t="s">
        <v>21</v>
      </c>
      <c r="J341" s="1" t="s">
        <v>22</v>
      </c>
      <c r="K341" s="2">
        <v>15.84300086</v>
      </c>
      <c r="L341" s="2">
        <v>107.97422974</v>
      </c>
      <c r="M341" s="1" t="s">
        <v>1893</v>
      </c>
      <c r="N341" s="1" t="s">
        <v>510</v>
      </c>
      <c r="O341" s="1" t="str">
        <f>INT(K341)&amp;"°"&amp;INT(MOD(K341,1)*60)&amp;"'"&amp;
ROUND(MOD(MOD(K341,1)*60,1)*60,1)&amp;"""N"</f>
        <v>15°50'34.8"N</v>
      </c>
      <c r="P341" s="1" t="str">
        <f>INT(L341)&amp;"°"&amp;INT(MOD(L341,1)*60)&amp;"'"&amp;
ROUND(MOD(MOD(L341,1)*60,1)*60,1)&amp;"""E"</f>
        <v>107°58'27.2"E</v>
      </c>
      <c r="Q341" s="1" t="str">
        <f>O341 &amp; " " &amp; P341</f>
        <v>15°50'34.8"N 107°58'27.2"E</v>
      </c>
    </row>
    <row r="342" spans="1:17" ht="15.75" customHeight="1" x14ac:dyDescent="0.2">
      <c r="A342" s="1">
        <v>532</v>
      </c>
      <c r="B342" s="1" t="s">
        <v>1940</v>
      </c>
      <c r="C342" s="1" t="s">
        <v>15</v>
      </c>
      <c r="D342" s="1" t="s">
        <v>16</v>
      </c>
      <c r="E342" s="1" t="s">
        <v>1885</v>
      </c>
      <c r="F342" s="1" t="s">
        <v>1886</v>
      </c>
      <c r="G342" s="1" t="s">
        <v>1941</v>
      </c>
      <c r="H342" s="1" t="s">
        <v>1942</v>
      </c>
      <c r="I342" s="1" t="s">
        <v>21</v>
      </c>
      <c r="J342" s="1" t="s">
        <v>22</v>
      </c>
      <c r="K342" s="2">
        <v>15.86799332</v>
      </c>
      <c r="L342" s="2">
        <v>107.45446625</v>
      </c>
      <c r="M342" s="1" t="s">
        <v>1941</v>
      </c>
      <c r="N342" s="1" t="s">
        <v>510</v>
      </c>
      <c r="O342" s="1" t="str">
        <f>INT(K342)&amp;"°"&amp;INT(MOD(K342,1)*60)&amp;"'"&amp;
ROUND(MOD(MOD(K342,1)*60,1)*60,1)&amp;"""N"</f>
        <v>15°52'4.8"N</v>
      </c>
      <c r="P342" s="1" t="str">
        <f>INT(L342)&amp;"°"&amp;INT(MOD(L342,1)*60)&amp;"'"&amp;
ROUND(MOD(MOD(L342,1)*60,1)*60,1)&amp;"""E"</f>
        <v>107°27'16.1"E</v>
      </c>
      <c r="Q342" s="1" t="str">
        <f>O342 &amp; " " &amp; P342</f>
        <v>15°52'4.8"N 107°27'16.1"E</v>
      </c>
    </row>
    <row r="343" spans="1:17" ht="15.75" customHeight="1" x14ac:dyDescent="0.2">
      <c r="A343" s="1">
        <v>523</v>
      </c>
      <c r="B343" s="1" t="s">
        <v>1908</v>
      </c>
      <c r="C343" s="1" t="s">
        <v>15</v>
      </c>
      <c r="D343" s="1" t="s">
        <v>16</v>
      </c>
      <c r="E343" s="1" t="s">
        <v>1885</v>
      </c>
      <c r="F343" s="1" t="s">
        <v>1886</v>
      </c>
      <c r="G343" s="1" t="s">
        <v>1909</v>
      </c>
      <c r="H343" s="1" t="s">
        <v>1910</v>
      </c>
      <c r="I343" s="1" t="s">
        <v>27</v>
      </c>
      <c r="J343" s="1" t="s">
        <v>28</v>
      </c>
      <c r="K343" s="2">
        <v>15.90034114</v>
      </c>
      <c r="L343" s="2">
        <v>108.38312264</v>
      </c>
      <c r="M343" s="1" t="s">
        <v>1911</v>
      </c>
      <c r="N343" s="1" t="s">
        <v>510</v>
      </c>
      <c r="O343" s="1" t="str">
        <f>INT(K343)&amp;"°"&amp;INT(MOD(K343,1)*60)&amp;"'"&amp;
ROUND(MOD(MOD(K343,1)*60,1)*60,1)&amp;"""N"</f>
        <v>15°54'1.2"N</v>
      </c>
      <c r="P343" s="1" t="str">
        <f>INT(L343)&amp;"°"&amp;INT(MOD(L343,1)*60)&amp;"'"&amp;
ROUND(MOD(MOD(L343,1)*60,1)*60,1)&amp;"""E"</f>
        <v>108°22'59.2"E</v>
      </c>
      <c r="Q343" s="1" t="str">
        <f>O343 &amp; " " &amp; P343</f>
        <v>15°54'1.2"N 108°22'59.2"E</v>
      </c>
    </row>
    <row r="344" spans="1:17" ht="15.75" customHeight="1" x14ac:dyDescent="0.2">
      <c r="A344" s="1">
        <v>519</v>
      </c>
      <c r="B344" s="1" t="s">
        <v>1894</v>
      </c>
      <c r="C344" s="1" t="s">
        <v>15</v>
      </c>
      <c r="D344" s="1" t="s">
        <v>16</v>
      </c>
      <c r="E344" s="1" t="s">
        <v>1885</v>
      </c>
      <c r="F344" s="1" t="s">
        <v>1886</v>
      </c>
      <c r="G344" s="1" t="s">
        <v>1895</v>
      </c>
      <c r="H344" s="1" t="s">
        <v>1896</v>
      </c>
      <c r="I344" s="1" t="s">
        <v>53</v>
      </c>
      <c r="J344" s="1" t="s">
        <v>54</v>
      </c>
      <c r="K344" s="2">
        <v>15.902153569999999</v>
      </c>
      <c r="L344" s="2">
        <v>108.22337678</v>
      </c>
      <c r="M344" s="1" t="s">
        <v>1897</v>
      </c>
      <c r="N344" s="1" t="s">
        <v>510</v>
      </c>
      <c r="O344" s="1" t="str">
        <f>INT(K344)&amp;"°"&amp;INT(MOD(K344,1)*60)&amp;"'"&amp;
ROUND(MOD(MOD(K344,1)*60,1)*60,1)&amp;"""N"</f>
        <v>15°54'7.8"N</v>
      </c>
      <c r="P344" s="1" t="str">
        <f>INT(L344)&amp;"°"&amp;INT(MOD(L344,1)*60)&amp;"'"&amp;
ROUND(MOD(MOD(L344,1)*60,1)*60,1)&amp;"""E"</f>
        <v>108°13'24.2"E</v>
      </c>
      <c r="Q344" s="1" t="str">
        <f>O344 &amp; " " &amp; P344</f>
        <v>15°54'7.8"N 108°13'24.2"E</v>
      </c>
    </row>
    <row r="345" spans="1:17" ht="15.75" customHeight="1" x14ac:dyDescent="0.2">
      <c r="A345" s="1">
        <v>520</v>
      </c>
      <c r="B345" s="1" t="s">
        <v>1898</v>
      </c>
      <c r="C345" s="1" t="s">
        <v>15</v>
      </c>
      <c r="D345" s="1" t="s">
        <v>16</v>
      </c>
      <c r="E345" s="1" t="s">
        <v>1885</v>
      </c>
      <c r="F345" s="1" t="s">
        <v>1886</v>
      </c>
      <c r="G345" s="1" t="s">
        <v>1899</v>
      </c>
      <c r="H345" s="1" t="s">
        <v>1900</v>
      </c>
      <c r="I345" s="1" t="s">
        <v>21</v>
      </c>
      <c r="J345" s="1" t="s">
        <v>22</v>
      </c>
      <c r="K345" s="2">
        <v>15.92820876</v>
      </c>
      <c r="L345" s="2">
        <v>107.76475212</v>
      </c>
      <c r="M345" s="1" t="s">
        <v>1901</v>
      </c>
      <c r="N345" s="1" t="s">
        <v>510</v>
      </c>
      <c r="O345" s="1" t="str">
        <f>INT(K345)&amp;"°"&amp;INT(MOD(K345,1)*60)&amp;"'"&amp;
ROUND(MOD(MOD(K345,1)*60,1)*60,1)&amp;"""N"</f>
        <v>15°55'41.6"N</v>
      </c>
      <c r="P345" s="1" t="str">
        <f>INT(L345)&amp;"°"&amp;INT(MOD(L345,1)*60)&amp;"'"&amp;
ROUND(MOD(MOD(L345,1)*60,1)*60,1)&amp;"""E"</f>
        <v>107°45'53.1"E</v>
      </c>
      <c r="Q345" s="1" t="str">
        <f>O345 &amp; " " &amp; P345</f>
        <v>15°55'41.6"N 107°45'53.1"E</v>
      </c>
    </row>
    <row r="346" spans="1:17" ht="15.75" customHeight="1" x14ac:dyDescent="0.2">
      <c r="A346" s="1">
        <v>137</v>
      </c>
      <c r="B346" s="1" t="s">
        <v>525</v>
      </c>
      <c r="C346" s="1" t="s">
        <v>15</v>
      </c>
      <c r="D346" s="1" t="s">
        <v>16</v>
      </c>
      <c r="E346" s="1" t="s">
        <v>509</v>
      </c>
      <c r="F346" s="1" t="s">
        <v>510</v>
      </c>
      <c r="G346" s="1" t="s">
        <v>526</v>
      </c>
      <c r="H346" s="1" t="s">
        <v>527</v>
      </c>
      <c r="I346" s="1" t="s">
        <v>434</v>
      </c>
      <c r="J346" s="1" t="s">
        <v>435</v>
      </c>
      <c r="K346" s="2">
        <v>15.99780234</v>
      </c>
      <c r="L346" s="2">
        <v>108.24943502000001</v>
      </c>
      <c r="M346" s="1" t="s">
        <v>526</v>
      </c>
      <c r="N346" s="1" t="s">
        <v>510</v>
      </c>
      <c r="O346" s="1" t="str">
        <f>INT(K346)&amp;"°"&amp;INT(MOD(K346,1)*60)&amp;"'"&amp;
ROUND(MOD(MOD(K346,1)*60,1)*60,1)&amp;"""N"</f>
        <v>15°59'52.1"N</v>
      </c>
      <c r="P346" s="1" t="str">
        <f>INT(L346)&amp;"°"&amp;INT(MOD(L346,1)*60)&amp;"'"&amp;
ROUND(MOD(MOD(L346,1)*60,1)*60,1)&amp;"""E"</f>
        <v>108°14'58"E</v>
      </c>
      <c r="Q346" s="1" t="str">
        <f>O346 &amp; " " &amp; P346</f>
        <v>15°59'52.1"N 108°14'58"E</v>
      </c>
    </row>
    <row r="347" spans="1:17" ht="15.75" customHeight="1" x14ac:dyDescent="0.2">
      <c r="A347" s="1">
        <v>133</v>
      </c>
      <c r="B347" s="1" t="s">
        <v>508</v>
      </c>
      <c r="C347" s="1" t="s">
        <v>15</v>
      </c>
      <c r="D347" s="1" t="s">
        <v>16</v>
      </c>
      <c r="E347" s="1" t="s">
        <v>509</v>
      </c>
      <c r="F347" s="1" t="s">
        <v>510</v>
      </c>
      <c r="G347" s="1" t="s">
        <v>511</v>
      </c>
      <c r="H347" s="1" t="s">
        <v>512</v>
      </c>
      <c r="I347" s="1" t="s">
        <v>434</v>
      </c>
      <c r="J347" s="1" t="s">
        <v>435</v>
      </c>
      <c r="K347" s="2">
        <v>16.014732980000002</v>
      </c>
      <c r="L347" s="2">
        <v>108.19672860999999</v>
      </c>
      <c r="M347" s="1" t="s">
        <v>511</v>
      </c>
      <c r="N347" s="1" t="s">
        <v>510</v>
      </c>
      <c r="O347" s="1" t="str">
        <f>INT(K347)&amp;"°"&amp;INT(MOD(K347,1)*60)&amp;"'"&amp;
ROUND(MOD(MOD(K347,1)*60,1)*60,1)&amp;"""N"</f>
        <v>16°0'53"N</v>
      </c>
      <c r="P347" s="1" t="str">
        <f>INT(L347)&amp;"°"&amp;INT(MOD(L347,1)*60)&amp;"'"&amp;
ROUND(MOD(MOD(L347,1)*60,1)*60,1)&amp;"""E"</f>
        <v>108°11'48.2"E</v>
      </c>
      <c r="Q347" s="1" t="str">
        <f>O347 &amp; " " &amp; P347</f>
        <v>16°0'53"N 108°11'48.2"E</v>
      </c>
    </row>
    <row r="348" spans="1:17" ht="15.75" customHeight="1" x14ac:dyDescent="0.2">
      <c r="A348" s="1">
        <v>134</v>
      </c>
      <c r="B348" s="1" t="s">
        <v>513</v>
      </c>
      <c r="C348" s="1" t="s">
        <v>15</v>
      </c>
      <c r="D348" s="1" t="s">
        <v>16</v>
      </c>
      <c r="E348" s="1" t="s">
        <v>509</v>
      </c>
      <c r="F348" s="1" t="s">
        <v>510</v>
      </c>
      <c r="G348" s="1" t="s">
        <v>514</v>
      </c>
      <c r="H348" s="1" t="s">
        <v>515</v>
      </c>
      <c r="I348" s="1" t="s">
        <v>434</v>
      </c>
      <c r="J348" s="1" t="s">
        <v>435</v>
      </c>
      <c r="K348" s="2">
        <v>16.052314330000002</v>
      </c>
      <c r="L348" s="2">
        <v>108.21288538</v>
      </c>
      <c r="M348" s="1" t="s">
        <v>516</v>
      </c>
      <c r="N348" s="1" t="s">
        <v>510</v>
      </c>
      <c r="O348" s="1" t="str">
        <f>INT(K348)&amp;"°"&amp;INT(MOD(K348,1)*60)&amp;"'"&amp;
ROUND(MOD(MOD(K348,1)*60,1)*60,1)&amp;"""N"</f>
        <v>16°3'8.3"N</v>
      </c>
      <c r="P348" s="1" t="str">
        <f>INT(L348)&amp;"°"&amp;INT(MOD(L348,1)*60)&amp;"'"&amp;
ROUND(MOD(MOD(L348,1)*60,1)*60,1)&amp;"""E"</f>
        <v>108°12'46.4"E</v>
      </c>
      <c r="Q348" s="1" t="str">
        <f>O348 &amp; " " &amp; P348</f>
        <v>16°3'8.3"N 108°12'46.4"E</v>
      </c>
    </row>
    <row r="349" spans="1:17" ht="15.75" customHeight="1" x14ac:dyDescent="0.2">
      <c r="A349" s="1">
        <v>139</v>
      </c>
      <c r="B349" s="1" t="s">
        <v>531</v>
      </c>
      <c r="C349" s="1" t="s">
        <v>15</v>
      </c>
      <c r="D349" s="1" t="s">
        <v>16</v>
      </c>
      <c r="E349" s="1" t="s">
        <v>509</v>
      </c>
      <c r="F349" s="1" t="s">
        <v>510</v>
      </c>
      <c r="G349" s="1" t="s">
        <v>532</v>
      </c>
      <c r="H349" s="1" t="s">
        <v>533</v>
      </c>
      <c r="I349" s="1" t="s">
        <v>434</v>
      </c>
      <c r="J349" s="1" t="s">
        <v>435</v>
      </c>
      <c r="K349" s="2">
        <v>16.062113539999999</v>
      </c>
      <c r="L349" s="2">
        <v>108.19280418</v>
      </c>
      <c r="M349" s="1" t="s">
        <v>532</v>
      </c>
      <c r="N349" s="1" t="s">
        <v>510</v>
      </c>
      <c r="O349" s="1" t="str">
        <f>INT(K349)&amp;"°"&amp;INT(MOD(K349,1)*60)&amp;"'"&amp;
ROUND(MOD(MOD(K349,1)*60,1)*60,1)&amp;"""N"</f>
        <v>16°3'43.6"N</v>
      </c>
      <c r="P349" s="1" t="str">
        <f>INT(L349)&amp;"°"&amp;INT(MOD(L349,1)*60)&amp;"'"&amp;
ROUND(MOD(MOD(L349,1)*60,1)*60,1)&amp;"""E"</f>
        <v>108°11'34.1"E</v>
      </c>
      <c r="Q349" s="1" t="str">
        <f>O349 &amp; " " &amp; P349</f>
        <v>16°3'43.6"N 108°11'34.1"E</v>
      </c>
    </row>
    <row r="350" spans="1:17" ht="15.75" customHeight="1" x14ac:dyDescent="0.2">
      <c r="A350" s="1">
        <v>135</v>
      </c>
      <c r="B350" s="1" t="s">
        <v>517</v>
      </c>
      <c r="C350" s="1" t="s">
        <v>15</v>
      </c>
      <c r="D350" s="1" t="s">
        <v>16</v>
      </c>
      <c r="E350" s="1" t="s">
        <v>509</v>
      </c>
      <c r="F350" s="1" t="s">
        <v>510</v>
      </c>
      <c r="G350" s="1" t="s">
        <v>518</v>
      </c>
      <c r="H350" s="1" t="s">
        <v>519</v>
      </c>
      <c r="I350" s="1" t="s">
        <v>21</v>
      </c>
      <c r="J350" s="1" t="s">
        <v>22</v>
      </c>
      <c r="K350" s="2">
        <v>16.065556300000001</v>
      </c>
      <c r="L350" s="2">
        <v>108.01529592</v>
      </c>
      <c r="M350" s="1" t="s">
        <v>520</v>
      </c>
      <c r="N350" s="1" t="s">
        <v>510</v>
      </c>
      <c r="O350" s="1" t="str">
        <f>INT(K350)&amp;"°"&amp;INT(MOD(K350,1)*60)&amp;"'"&amp;
ROUND(MOD(MOD(K350,1)*60,1)*60,1)&amp;"""N"</f>
        <v>16°3'56"N</v>
      </c>
      <c r="P350" s="1" t="str">
        <f>INT(L350)&amp;"°"&amp;INT(MOD(L350,1)*60)&amp;"'"&amp;
ROUND(MOD(MOD(L350,1)*60,1)*60,1)&amp;"""E"</f>
        <v>108°0'55.1"E</v>
      </c>
      <c r="Q350" s="1" t="str">
        <f>O350 &amp; " " &amp; P350</f>
        <v>16°3'56"N 108°0'55.1"E</v>
      </c>
    </row>
    <row r="351" spans="1:17" ht="15.75" customHeight="1" x14ac:dyDescent="0.2">
      <c r="A351" s="1">
        <v>138</v>
      </c>
      <c r="B351" s="1" t="s">
        <v>528</v>
      </c>
      <c r="C351" s="1" t="s">
        <v>15</v>
      </c>
      <c r="D351" s="1" t="s">
        <v>16</v>
      </c>
      <c r="E351" s="1" t="s">
        <v>509</v>
      </c>
      <c r="F351" s="1" t="s">
        <v>510</v>
      </c>
      <c r="G351" s="1" t="s">
        <v>529</v>
      </c>
      <c r="H351" s="1" t="s">
        <v>530</v>
      </c>
      <c r="I351" s="1" t="s">
        <v>434</v>
      </c>
      <c r="J351" s="1" t="s">
        <v>435</v>
      </c>
      <c r="K351" s="2">
        <v>16.113299059999999</v>
      </c>
      <c r="L351" s="2">
        <v>108.26380951</v>
      </c>
      <c r="M351" s="1" t="s">
        <v>529</v>
      </c>
      <c r="N351" s="1" t="s">
        <v>510</v>
      </c>
      <c r="O351" s="1" t="str">
        <f>INT(K351)&amp;"°"&amp;INT(MOD(K351,1)*60)&amp;"'"&amp;
ROUND(MOD(MOD(K351,1)*60,1)*60,1)&amp;"""N"</f>
        <v>16°6'47.9"N</v>
      </c>
      <c r="P351" s="1" t="str">
        <f>INT(L351)&amp;"°"&amp;INT(MOD(L351,1)*60)&amp;"'"&amp;
ROUND(MOD(MOD(L351,1)*60,1)*60,1)&amp;"""E"</f>
        <v>108°15'49.7"E</v>
      </c>
      <c r="Q351" s="1" t="str">
        <f>O351 &amp; " " &amp; P351</f>
        <v>16°6'47.9"N 108°15'49.7"E</v>
      </c>
    </row>
    <row r="352" spans="1:17" ht="15.75" customHeight="1" x14ac:dyDescent="0.2">
      <c r="A352" s="1">
        <v>653</v>
      </c>
      <c r="B352" s="1" t="s">
        <v>2363</v>
      </c>
      <c r="C352" s="1" t="s">
        <v>15</v>
      </c>
      <c r="D352" s="1" t="s">
        <v>16</v>
      </c>
      <c r="E352" s="1" t="s">
        <v>2346</v>
      </c>
      <c r="F352" s="1" t="s">
        <v>2347</v>
      </c>
      <c r="G352" s="1" t="s">
        <v>2364</v>
      </c>
      <c r="H352" s="1" t="s">
        <v>2365</v>
      </c>
      <c r="I352" s="1" t="s">
        <v>21</v>
      </c>
      <c r="J352" s="1" t="s">
        <v>22</v>
      </c>
      <c r="K352" s="2">
        <v>16.12061563</v>
      </c>
      <c r="L352" s="2">
        <v>107.68575786</v>
      </c>
      <c r="M352" s="1" t="s">
        <v>2364</v>
      </c>
      <c r="N352" s="1" t="s">
        <v>2347</v>
      </c>
      <c r="O352" s="1" t="str">
        <f>INT(K352)&amp;"°"&amp;INT(MOD(K352,1)*60)&amp;"'"&amp;
ROUND(MOD(MOD(K352,1)*60,1)*60,1)&amp;"""N"</f>
        <v>16°7'14.2"N</v>
      </c>
      <c r="P352" s="1" t="str">
        <f>INT(L352)&amp;"°"&amp;INT(MOD(L352,1)*60)&amp;"'"&amp;
ROUND(MOD(MOD(L352,1)*60,1)*60,1)&amp;"""E"</f>
        <v>107°41'8.7"E</v>
      </c>
      <c r="Q352" s="1" t="str">
        <f>O352 &amp; " " &amp; P352</f>
        <v>16°7'14.2"N 107°41'8.7"E</v>
      </c>
    </row>
    <row r="353" spans="1:17" ht="15.75" customHeight="1" x14ac:dyDescent="0.2">
      <c r="A353" s="1">
        <v>136</v>
      </c>
      <c r="B353" s="1" t="s">
        <v>521</v>
      </c>
      <c r="C353" s="1" t="s">
        <v>15</v>
      </c>
      <c r="D353" s="1" t="s">
        <v>16</v>
      </c>
      <c r="E353" s="1" t="s">
        <v>509</v>
      </c>
      <c r="F353" s="1" t="s">
        <v>510</v>
      </c>
      <c r="G353" s="1" t="s">
        <v>522</v>
      </c>
      <c r="H353" s="1" t="s">
        <v>523</v>
      </c>
      <c r="I353" s="1" t="s">
        <v>434</v>
      </c>
      <c r="J353" s="1" t="s">
        <v>435</v>
      </c>
      <c r="K353" s="2">
        <v>16.123229420000001</v>
      </c>
      <c r="L353" s="2">
        <v>108.13452726</v>
      </c>
      <c r="M353" s="1" t="s">
        <v>524</v>
      </c>
      <c r="N353" s="1" t="s">
        <v>510</v>
      </c>
      <c r="O353" s="1" t="str">
        <f>INT(K353)&amp;"°"&amp;INT(MOD(K353,1)*60)&amp;"'"&amp;
ROUND(MOD(MOD(K353,1)*60,1)*60,1)&amp;"""N"</f>
        <v>16°7'23.6"N</v>
      </c>
      <c r="P353" s="1" t="str">
        <f>INT(L353)&amp;"°"&amp;INT(MOD(L353,1)*60)&amp;"'"&amp;
ROUND(MOD(MOD(L353,1)*60,1)*60,1)&amp;"""E"</f>
        <v>108°8'4.3"E</v>
      </c>
      <c r="Q353" s="1" t="str">
        <f>O353 &amp; " " &amp; P353</f>
        <v>16°7'23.6"N 108°8'4.3"E</v>
      </c>
    </row>
    <row r="354" spans="1:17" ht="15.75" customHeight="1" x14ac:dyDescent="0.2">
      <c r="A354" s="1">
        <v>649</v>
      </c>
      <c r="B354" s="1" t="s">
        <v>2345</v>
      </c>
      <c r="C354" s="1" t="s">
        <v>15</v>
      </c>
      <c r="D354" s="1" t="s">
        <v>16</v>
      </c>
      <c r="E354" s="1" t="s">
        <v>2346</v>
      </c>
      <c r="F354" s="1" t="s">
        <v>2347</v>
      </c>
      <c r="G354" s="1" t="s">
        <v>2348</v>
      </c>
      <c r="H354" s="1" t="s">
        <v>2349</v>
      </c>
      <c r="I354" s="1" t="s">
        <v>21</v>
      </c>
      <c r="J354" s="1" t="s">
        <v>22</v>
      </c>
      <c r="K354" s="2">
        <v>16.236013979999999</v>
      </c>
      <c r="L354" s="2">
        <v>107.29815240000001</v>
      </c>
      <c r="M354" s="1" t="s">
        <v>2350</v>
      </c>
      <c r="N354" s="1" t="s">
        <v>2347</v>
      </c>
      <c r="O354" s="1" t="str">
        <f>INT(K354)&amp;"°"&amp;INT(MOD(K354,1)*60)&amp;"'"&amp;
ROUND(MOD(MOD(K354,1)*60,1)*60,1)&amp;"""N"</f>
        <v>16°14'9.7"N</v>
      </c>
      <c r="P354" s="1" t="str">
        <f>INT(L354)&amp;"°"&amp;INT(MOD(L354,1)*60)&amp;"'"&amp;
ROUND(MOD(MOD(L354,1)*60,1)*60,1)&amp;"""E"</f>
        <v>107°17'53.3"E</v>
      </c>
      <c r="Q354" s="1" t="str">
        <f>O354 &amp; " " &amp; P354</f>
        <v>16°14'9.7"N 107°17'53.3"E</v>
      </c>
    </row>
    <row r="355" spans="1:17" ht="15.75" customHeight="1" x14ac:dyDescent="0.2">
      <c r="A355" s="1">
        <v>655</v>
      </c>
      <c r="B355" s="1" t="s">
        <v>2367</v>
      </c>
      <c r="C355" s="1" t="s">
        <v>15</v>
      </c>
      <c r="D355" s="1" t="s">
        <v>16</v>
      </c>
      <c r="E355" s="1" t="s">
        <v>2346</v>
      </c>
      <c r="F355" s="1" t="s">
        <v>2347</v>
      </c>
      <c r="G355" s="1" t="s">
        <v>2111</v>
      </c>
      <c r="H355" s="1" t="s">
        <v>2368</v>
      </c>
      <c r="I355" s="1" t="s">
        <v>21</v>
      </c>
      <c r="J355" s="1" t="s">
        <v>22</v>
      </c>
      <c r="K355" s="2">
        <v>16.274453319999999</v>
      </c>
      <c r="L355" s="2">
        <v>107.88339607</v>
      </c>
      <c r="M355" s="1" t="s">
        <v>2111</v>
      </c>
      <c r="N355" s="1" t="s">
        <v>2347</v>
      </c>
      <c r="O355" s="1" t="str">
        <f>INT(K355)&amp;"°"&amp;INT(MOD(K355,1)*60)&amp;"'"&amp;
ROUND(MOD(MOD(K355,1)*60,1)*60,1)&amp;"""N"</f>
        <v>16°16'28"N</v>
      </c>
      <c r="P355" s="1" t="str">
        <f>INT(L355)&amp;"°"&amp;INT(MOD(L355,1)*60)&amp;"'"&amp;
ROUND(MOD(MOD(L355,1)*60,1)*60,1)&amp;"""E"</f>
        <v>107°53'0.2"E</v>
      </c>
      <c r="Q355" s="1" t="str">
        <f>O355 &amp; " " &amp; P355</f>
        <v>16°16'28"N 107°53'0.2"E</v>
      </c>
    </row>
    <row r="356" spans="1:17" ht="15.75" customHeight="1" x14ac:dyDescent="0.2">
      <c r="A356" s="1">
        <v>651</v>
      </c>
      <c r="B356" s="1" t="s">
        <v>2355</v>
      </c>
      <c r="C356" s="1" t="s">
        <v>15</v>
      </c>
      <c r="D356" s="1" t="s">
        <v>16</v>
      </c>
      <c r="E356" s="1" t="s">
        <v>2346</v>
      </c>
      <c r="F356" s="1" t="s">
        <v>2347</v>
      </c>
      <c r="G356" s="1" t="s">
        <v>2356</v>
      </c>
      <c r="H356" s="1" t="s">
        <v>2357</v>
      </c>
      <c r="I356" s="1" t="s">
        <v>53</v>
      </c>
      <c r="J356" s="1" t="s">
        <v>54</v>
      </c>
      <c r="K356" s="2">
        <v>16.313166259999999</v>
      </c>
      <c r="L356" s="2">
        <v>107.61858127000001</v>
      </c>
      <c r="M356" s="1" t="s">
        <v>2358</v>
      </c>
      <c r="N356" s="1" t="s">
        <v>2347</v>
      </c>
      <c r="O356" s="1" t="str">
        <f>INT(K356)&amp;"°"&amp;INT(MOD(K356,1)*60)&amp;"'"&amp;
ROUND(MOD(MOD(K356,1)*60,1)*60,1)&amp;"""N"</f>
        <v>16°18'47.4"N</v>
      </c>
      <c r="P356" s="1" t="str">
        <f>INT(L356)&amp;"°"&amp;INT(MOD(L356,1)*60)&amp;"'"&amp;
ROUND(MOD(MOD(L356,1)*60,1)*60,1)&amp;"""E"</f>
        <v>107°37'6.9"E</v>
      </c>
      <c r="Q356" s="1" t="str">
        <f>O356 &amp; " " &amp; P356</f>
        <v>16°18'47.4"N 107°37'6.9"E</v>
      </c>
    </row>
    <row r="357" spans="1:17" ht="15.75" customHeight="1" x14ac:dyDescent="0.2">
      <c r="A357" s="1">
        <v>652</v>
      </c>
      <c r="B357" s="1" t="s">
        <v>2359</v>
      </c>
      <c r="C357" s="1" t="s">
        <v>15</v>
      </c>
      <c r="D357" s="1" t="s">
        <v>16</v>
      </c>
      <c r="E357" s="1" t="s">
        <v>2346</v>
      </c>
      <c r="F357" s="1" t="s">
        <v>2347</v>
      </c>
      <c r="G357" s="1" t="s">
        <v>2360</v>
      </c>
      <c r="H357" s="1" t="s">
        <v>2361</v>
      </c>
      <c r="I357" s="1" t="s">
        <v>53</v>
      </c>
      <c r="J357" s="1" t="s">
        <v>54</v>
      </c>
      <c r="K357" s="2">
        <v>16.40133913</v>
      </c>
      <c r="L357" s="2">
        <v>107.48137475999999</v>
      </c>
      <c r="M357" s="1" t="s">
        <v>2362</v>
      </c>
      <c r="N357" s="1" t="s">
        <v>2347</v>
      </c>
      <c r="O357" s="1" t="str">
        <f>INT(K357)&amp;"°"&amp;INT(MOD(K357,1)*60)&amp;"'"&amp;
ROUND(MOD(MOD(K357,1)*60,1)*60,1)&amp;"""N"</f>
        <v>16°24'4.8"N</v>
      </c>
      <c r="P357" s="1" t="str">
        <f>INT(L357)&amp;"°"&amp;INT(MOD(L357,1)*60)&amp;"'"&amp;
ROUND(MOD(MOD(L357,1)*60,1)*60,1)&amp;"""E"</f>
        <v>107°28'52.9"E</v>
      </c>
      <c r="Q357" s="1" t="str">
        <f>O357 &amp; " " &amp; P357</f>
        <v>16°24'4.8"N 107°28'52.9"E</v>
      </c>
    </row>
    <row r="358" spans="1:17" ht="15.75" customHeight="1" x14ac:dyDescent="0.2">
      <c r="A358" s="1">
        <v>650</v>
      </c>
      <c r="B358" s="1" t="s">
        <v>2351</v>
      </c>
      <c r="C358" s="1" t="s">
        <v>15</v>
      </c>
      <c r="D358" s="1" t="s">
        <v>16</v>
      </c>
      <c r="E358" s="1" t="s">
        <v>2346</v>
      </c>
      <c r="F358" s="1" t="s">
        <v>2347</v>
      </c>
      <c r="G358" s="1" t="s">
        <v>2352</v>
      </c>
      <c r="H358" s="1" t="s">
        <v>2353</v>
      </c>
      <c r="I358" s="1" t="s">
        <v>27</v>
      </c>
      <c r="J358" s="1" t="s">
        <v>28</v>
      </c>
      <c r="K358" s="2">
        <v>16.457776209999999</v>
      </c>
      <c r="L358" s="2">
        <v>107.57539034</v>
      </c>
      <c r="M358" s="1" t="s">
        <v>2354</v>
      </c>
      <c r="N358" s="1" t="s">
        <v>2347</v>
      </c>
      <c r="O358" s="1" t="str">
        <f>INT(K358)&amp;"°"&amp;INT(MOD(K358,1)*60)&amp;"'"&amp;
ROUND(MOD(MOD(K358,1)*60,1)*60,1)&amp;"""N"</f>
        <v>16°27'28"N</v>
      </c>
      <c r="P358" s="1" t="str">
        <f>INT(L358)&amp;"°"&amp;INT(MOD(L358,1)*60)&amp;"'"&amp;
ROUND(MOD(MOD(L358,1)*60,1)*60,1)&amp;"""E"</f>
        <v>107°34'31.4"E</v>
      </c>
      <c r="Q358" s="1" t="str">
        <f>O358 &amp; " " &amp; P358</f>
        <v>16°27'28"N 107°34'31.4"E</v>
      </c>
    </row>
    <row r="359" spans="1:17" ht="15.75" customHeight="1" x14ac:dyDescent="0.2">
      <c r="A359" s="1">
        <v>656</v>
      </c>
      <c r="B359" s="1" t="s">
        <v>2369</v>
      </c>
      <c r="C359" s="1" t="s">
        <v>15</v>
      </c>
      <c r="D359" s="1" t="s">
        <v>16</v>
      </c>
      <c r="E359" s="1" t="s">
        <v>2346</v>
      </c>
      <c r="F359" s="1" t="s">
        <v>2347</v>
      </c>
      <c r="G359" s="1" t="s">
        <v>2370</v>
      </c>
      <c r="H359" s="1" t="s">
        <v>2371</v>
      </c>
      <c r="I359" s="1" t="s">
        <v>21</v>
      </c>
      <c r="J359" s="1" t="s">
        <v>22</v>
      </c>
      <c r="K359" s="2">
        <v>16.460940770000001</v>
      </c>
      <c r="L359" s="2">
        <v>107.71713493</v>
      </c>
      <c r="M359" s="1" t="s">
        <v>2372</v>
      </c>
      <c r="N359" s="1" t="s">
        <v>2347</v>
      </c>
      <c r="O359" s="1" t="str">
        <f>INT(K359)&amp;"°"&amp;INT(MOD(K359,1)*60)&amp;"'"&amp;
ROUND(MOD(MOD(K359,1)*60,1)*60,1)&amp;"""N"</f>
        <v>16°27'39.4"N</v>
      </c>
      <c r="P359" s="1" t="str">
        <f>INT(L359)&amp;"°"&amp;INT(MOD(L359,1)*60)&amp;"'"&amp;
ROUND(MOD(MOD(L359,1)*60,1)*60,1)&amp;"""E"</f>
        <v>107°43'1.7"E</v>
      </c>
      <c r="Q359" s="1" t="str">
        <f>O359 &amp; " " &amp; P359</f>
        <v>16°27'39.4"N 107°43'1.7"E</v>
      </c>
    </row>
    <row r="360" spans="1:17" ht="15.75" customHeight="1" x14ac:dyDescent="0.2">
      <c r="A360" s="1">
        <v>654</v>
      </c>
      <c r="B360" s="1" t="s">
        <v>2366</v>
      </c>
      <c r="C360" s="1" t="s">
        <v>15</v>
      </c>
      <c r="D360" s="1" t="s">
        <v>16</v>
      </c>
      <c r="E360" s="1" t="s">
        <v>2346</v>
      </c>
      <c r="F360" s="1" t="s">
        <v>2347</v>
      </c>
      <c r="G360" s="1" t="s">
        <v>450</v>
      </c>
      <c r="H360" s="1" t="s">
        <v>451</v>
      </c>
      <c r="I360" s="1" t="s">
        <v>21</v>
      </c>
      <c r="J360" s="1" t="s">
        <v>22</v>
      </c>
      <c r="K360" s="2">
        <v>16.521054700000001</v>
      </c>
      <c r="L360" s="2">
        <v>107.29670350000001</v>
      </c>
      <c r="M360" s="1" t="s">
        <v>450</v>
      </c>
      <c r="N360" s="1" t="s">
        <v>2347</v>
      </c>
      <c r="O360" s="1" t="str">
        <f>INT(K360)&amp;"°"&amp;INT(MOD(K360,1)*60)&amp;"'"&amp;
ROUND(MOD(MOD(K360,1)*60,1)*60,1)&amp;"""N"</f>
        <v>16°31'15.8"N</v>
      </c>
      <c r="P360" s="1" t="str">
        <f>INT(L360)&amp;"°"&amp;INT(MOD(L360,1)*60)&amp;"'"&amp;
ROUND(MOD(MOD(L360,1)*60,1)*60,1)&amp;"""E"</f>
        <v>107°17'48.1"E</v>
      </c>
      <c r="Q360" s="1" t="str">
        <f>O360 &amp; " " &amp; P360</f>
        <v>16°31'15.8"N 107°17'48.1"E</v>
      </c>
    </row>
    <row r="361" spans="1:17" ht="15.75" customHeight="1" x14ac:dyDescent="0.2">
      <c r="A361" s="1">
        <v>565</v>
      </c>
      <c r="B361" s="1" t="s">
        <v>2052</v>
      </c>
      <c r="C361" s="1" t="s">
        <v>15</v>
      </c>
      <c r="D361" s="1" t="s">
        <v>16</v>
      </c>
      <c r="E361" s="1" t="s">
        <v>2046</v>
      </c>
      <c r="F361" s="1" t="s">
        <v>1855</v>
      </c>
      <c r="G361" s="1" t="s">
        <v>2053</v>
      </c>
      <c r="H361" s="1" t="s">
        <v>2054</v>
      </c>
      <c r="I361" s="1" t="s">
        <v>21</v>
      </c>
      <c r="J361" s="1" t="s">
        <v>22</v>
      </c>
      <c r="K361" s="2">
        <v>16.57098504</v>
      </c>
      <c r="L361" s="2">
        <v>106.94223057000001</v>
      </c>
      <c r="M361" s="1" t="s">
        <v>2055</v>
      </c>
      <c r="N361" s="1" t="s">
        <v>1855</v>
      </c>
      <c r="O361" s="1" t="str">
        <f>INT(K361)&amp;"°"&amp;INT(MOD(K361,1)*60)&amp;"'"&amp;
ROUND(MOD(MOD(K361,1)*60,1)*60,1)&amp;"""N"</f>
        <v>16°34'15.5"N</v>
      </c>
      <c r="P361" s="1" t="str">
        <f>INT(L361)&amp;"°"&amp;INT(MOD(L361,1)*60)&amp;"'"&amp;
ROUND(MOD(MOD(L361,1)*60,1)*60,1)&amp;"""E"</f>
        <v>106°56'32"E</v>
      </c>
      <c r="Q361" s="1" t="str">
        <f>O361 &amp; " " &amp; P361</f>
        <v>16°34'15.5"N 106°56'32"E</v>
      </c>
    </row>
    <row r="362" spans="1:17" ht="15.75" customHeight="1" x14ac:dyDescent="0.2">
      <c r="A362" s="1">
        <v>657</v>
      </c>
      <c r="B362" s="1" t="s">
        <v>2373</v>
      </c>
      <c r="C362" s="1" t="s">
        <v>15</v>
      </c>
      <c r="D362" s="1" t="s">
        <v>16</v>
      </c>
      <c r="E362" s="1" t="s">
        <v>2346</v>
      </c>
      <c r="F362" s="1" t="s">
        <v>2347</v>
      </c>
      <c r="G362" s="1" t="s">
        <v>2374</v>
      </c>
      <c r="H362" s="1" t="s">
        <v>2375</v>
      </c>
      <c r="I362" s="1" t="s">
        <v>21</v>
      </c>
      <c r="J362" s="1" t="s">
        <v>22</v>
      </c>
      <c r="K362" s="2">
        <v>16.589344820000001</v>
      </c>
      <c r="L362" s="2">
        <v>107.50099668</v>
      </c>
      <c r="M362" s="1" t="s">
        <v>2374</v>
      </c>
      <c r="N362" s="1" t="s">
        <v>2347</v>
      </c>
      <c r="O362" s="1" t="str">
        <f>INT(K362)&amp;"°"&amp;INT(MOD(K362,1)*60)&amp;"'"&amp;
ROUND(MOD(MOD(K362,1)*60,1)*60,1)&amp;"""N"</f>
        <v>16°35'21.6"N</v>
      </c>
      <c r="P362" s="1" t="str">
        <f>INT(L362)&amp;"°"&amp;INT(MOD(L362,1)*60)&amp;"'"&amp;
ROUND(MOD(MOD(L362,1)*60,1)*60,1)&amp;"""E"</f>
        <v>107°30'3.6"E</v>
      </c>
      <c r="Q362" s="1" t="str">
        <f>O362 &amp; " " &amp; P362</f>
        <v>16°35'21.6"N 107°30'3.6"E</v>
      </c>
    </row>
    <row r="363" spans="1:17" ht="15.75" customHeight="1" x14ac:dyDescent="0.2">
      <c r="A363" s="1">
        <v>568</v>
      </c>
      <c r="B363" s="1" t="s">
        <v>2063</v>
      </c>
      <c r="C363" s="1" t="s">
        <v>15</v>
      </c>
      <c r="D363" s="1" t="s">
        <v>16</v>
      </c>
      <c r="E363" s="1" t="s">
        <v>2046</v>
      </c>
      <c r="F363" s="1" t="s">
        <v>1855</v>
      </c>
      <c r="G363" s="1" t="s">
        <v>2064</v>
      </c>
      <c r="H363" s="1" t="s">
        <v>2065</v>
      </c>
      <c r="I363" s="1" t="s">
        <v>21</v>
      </c>
      <c r="J363" s="1" t="s">
        <v>22</v>
      </c>
      <c r="K363" s="2">
        <v>16.674218849999999</v>
      </c>
      <c r="L363" s="2">
        <v>107.24933211</v>
      </c>
      <c r="M363" s="1" t="s">
        <v>2066</v>
      </c>
      <c r="N363" s="1" t="s">
        <v>1855</v>
      </c>
      <c r="O363" s="1" t="str">
        <f>INT(K363)&amp;"°"&amp;INT(MOD(K363,1)*60)&amp;"'"&amp;
ROUND(MOD(MOD(K363,1)*60,1)*60,1)&amp;"""N"</f>
        <v>16°40'27.2"N</v>
      </c>
      <c r="P363" s="1" t="str">
        <f>INT(L363)&amp;"°"&amp;INT(MOD(L363,1)*60)&amp;"'"&amp;
ROUND(MOD(MOD(L363,1)*60,1)*60,1)&amp;"""E"</f>
        <v>107°14'57.6"E</v>
      </c>
      <c r="Q363" s="1" t="str">
        <f>O363 &amp; " " &amp; P363</f>
        <v>16°40'27.2"N 107°14'57.6"E</v>
      </c>
    </row>
    <row r="364" spans="1:17" ht="15.75" customHeight="1" x14ac:dyDescent="0.2">
      <c r="A364" s="1">
        <v>570</v>
      </c>
      <c r="B364" s="1" t="s">
        <v>2071</v>
      </c>
      <c r="C364" s="1" t="s">
        <v>15</v>
      </c>
      <c r="D364" s="1" t="s">
        <v>16</v>
      </c>
      <c r="E364" s="1" t="s">
        <v>2046</v>
      </c>
      <c r="F364" s="1" t="s">
        <v>1855</v>
      </c>
      <c r="G364" s="1" t="s">
        <v>1855</v>
      </c>
      <c r="H364" s="1" t="s">
        <v>2072</v>
      </c>
      <c r="I364" s="1" t="s">
        <v>53</v>
      </c>
      <c r="J364" s="1" t="s">
        <v>54</v>
      </c>
      <c r="K364" s="2">
        <v>16.678635490000001</v>
      </c>
      <c r="L364" s="2">
        <v>107.14525045000001</v>
      </c>
      <c r="M364" s="1" t="s">
        <v>1855</v>
      </c>
      <c r="N364" s="1" t="s">
        <v>1855</v>
      </c>
      <c r="O364" s="1" t="str">
        <f>INT(K364)&amp;"°"&amp;INT(MOD(K364,1)*60)&amp;"'"&amp;
ROUND(MOD(MOD(K364,1)*60,1)*60,1)&amp;"""N"</f>
        <v>16°40'43.1"N</v>
      </c>
      <c r="P364" s="1" t="str">
        <f>INT(L364)&amp;"°"&amp;INT(MOD(L364,1)*60)&amp;"'"&amp;
ROUND(MOD(MOD(L364,1)*60,1)*60,1)&amp;"""E"</f>
        <v>107°8'42.9"E</v>
      </c>
      <c r="Q364" s="1" t="str">
        <f>O364 &amp; " " &amp; P364</f>
        <v>16°40'43.1"N 107°8'42.9"E</v>
      </c>
    </row>
    <row r="365" spans="1:17" ht="15.75" customHeight="1" x14ac:dyDescent="0.2">
      <c r="A365" s="1">
        <v>569</v>
      </c>
      <c r="B365" s="1" t="s">
        <v>2067</v>
      </c>
      <c r="C365" s="1" t="s">
        <v>15</v>
      </c>
      <c r="D365" s="1" t="s">
        <v>16</v>
      </c>
      <c r="E365" s="1" t="s">
        <v>2046</v>
      </c>
      <c r="F365" s="1" t="s">
        <v>1855</v>
      </c>
      <c r="G365" s="1" t="s">
        <v>2068</v>
      </c>
      <c r="H365" s="1" t="s">
        <v>2069</v>
      </c>
      <c r="I365" s="1" t="s">
        <v>21</v>
      </c>
      <c r="J365" s="1" t="s">
        <v>22</v>
      </c>
      <c r="K365" s="2">
        <v>16.706891039999999</v>
      </c>
      <c r="L365" s="2">
        <v>106.67635113999999</v>
      </c>
      <c r="M365" s="1" t="s">
        <v>2070</v>
      </c>
      <c r="N365" s="1" t="s">
        <v>1855</v>
      </c>
      <c r="O365" s="1" t="str">
        <f>INT(K365)&amp;"°"&amp;INT(MOD(K365,1)*60)&amp;"'"&amp;
ROUND(MOD(MOD(K365,1)*60,1)*60,1)&amp;"""N"</f>
        <v>16°42'24.8"N</v>
      </c>
      <c r="P365" s="1" t="str">
        <f>INT(L365)&amp;"°"&amp;INT(MOD(L365,1)*60)&amp;"'"&amp;
ROUND(MOD(MOD(L365,1)*60,1)*60,1)&amp;"""E"</f>
        <v>106°40'34.9"E</v>
      </c>
      <c r="Q365" s="1" t="str">
        <f>O365 &amp; " " &amp; P365</f>
        <v>16°42'24.8"N 106°40'34.9"E</v>
      </c>
    </row>
    <row r="366" spans="1:17" ht="15.75" customHeight="1" x14ac:dyDescent="0.2">
      <c r="A366" s="1">
        <v>571</v>
      </c>
      <c r="B366" s="1" t="s">
        <v>2073</v>
      </c>
      <c r="C366" s="1" t="s">
        <v>15</v>
      </c>
      <c r="D366" s="1" t="s">
        <v>16</v>
      </c>
      <c r="E366" s="1" t="s">
        <v>2046</v>
      </c>
      <c r="F366" s="1" t="s">
        <v>1855</v>
      </c>
      <c r="G366" s="1" t="s">
        <v>2074</v>
      </c>
      <c r="H366" s="1" t="s">
        <v>2075</v>
      </c>
      <c r="I366" s="1" t="s">
        <v>21</v>
      </c>
      <c r="J366" s="1" t="s">
        <v>22</v>
      </c>
      <c r="K366" s="2">
        <v>16.776095689999998</v>
      </c>
      <c r="L366" s="2">
        <v>107.1514458</v>
      </c>
      <c r="M366" s="1" t="s">
        <v>2076</v>
      </c>
      <c r="N366" s="1" t="s">
        <v>1855</v>
      </c>
      <c r="O366" s="1" t="str">
        <f>INT(K366)&amp;"°"&amp;INT(MOD(K366,1)*60)&amp;"'"&amp;
ROUND(MOD(MOD(K366,1)*60,1)*60,1)&amp;"""N"</f>
        <v>16°46'33.9"N</v>
      </c>
      <c r="P366" s="1" t="str">
        <f>INT(L366)&amp;"°"&amp;INT(MOD(L366,1)*60)&amp;"'"&amp;
ROUND(MOD(MOD(L366,1)*60,1)*60,1)&amp;"""E"</f>
        <v>107°9'5.2"E</v>
      </c>
      <c r="Q366" s="1" t="str">
        <f>O366 &amp; " " &amp; P366</f>
        <v>16°46'33.9"N 107°9'5.2"E</v>
      </c>
    </row>
    <row r="367" spans="1:17" ht="15.75" customHeight="1" x14ac:dyDescent="0.2">
      <c r="A367" s="1">
        <v>563</v>
      </c>
      <c r="B367" s="1" t="s">
        <v>2045</v>
      </c>
      <c r="C367" s="1" t="s">
        <v>15</v>
      </c>
      <c r="D367" s="1" t="s">
        <v>16</v>
      </c>
      <c r="E367" s="1" t="s">
        <v>2046</v>
      </c>
      <c r="F367" s="1" t="s">
        <v>1855</v>
      </c>
      <c r="G367" s="1" t="s">
        <v>2047</v>
      </c>
      <c r="H367" s="1" t="s">
        <v>2048</v>
      </c>
      <c r="I367" s="1" t="s">
        <v>21</v>
      </c>
      <c r="J367" s="1" t="s">
        <v>22</v>
      </c>
      <c r="K367" s="2">
        <v>16.790823540000002</v>
      </c>
      <c r="L367" s="2">
        <v>106.96352784</v>
      </c>
      <c r="M367" s="1" t="s">
        <v>2047</v>
      </c>
      <c r="N367" s="1" t="s">
        <v>1855</v>
      </c>
      <c r="O367" s="1" t="str">
        <f>INT(K367)&amp;"°"&amp;INT(MOD(K367,1)*60)&amp;"'"&amp;
ROUND(MOD(MOD(K367,1)*60,1)*60,1)&amp;"""N"</f>
        <v>16°47'27"N</v>
      </c>
      <c r="P367" s="1" t="str">
        <f>INT(L367)&amp;"°"&amp;INT(MOD(L367,1)*60)&amp;"'"&amp;
ROUND(MOD(MOD(L367,1)*60,1)*60,1)&amp;"""E"</f>
        <v>106°57'48.7"E</v>
      </c>
      <c r="Q367" s="1" t="str">
        <f>O367 &amp; " " &amp; P367</f>
        <v>16°47'27"N 106°57'48.7"E</v>
      </c>
    </row>
    <row r="368" spans="1:17" ht="15.75" customHeight="1" x14ac:dyDescent="0.2">
      <c r="A368" s="1">
        <v>566</v>
      </c>
      <c r="B368" s="1" t="s">
        <v>2056</v>
      </c>
      <c r="C368" s="1" t="s">
        <v>15</v>
      </c>
      <c r="D368" s="1" t="s">
        <v>16</v>
      </c>
      <c r="E368" s="1" t="s">
        <v>2046</v>
      </c>
      <c r="F368" s="1" t="s">
        <v>1855</v>
      </c>
      <c r="G368" s="1" t="s">
        <v>2057</v>
      </c>
      <c r="H368" s="1" t="s">
        <v>2058</v>
      </c>
      <c r="I368" s="1" t="s">
        <v>27</v>
      </c>
      <c r="J368" s="1" t="s">
        <v>28</v>
      </c>
      <c r="K368" s="2">
        <v>16.801361100000001</v>
      </c>
      <c r="L368" s="2">
        <v>107.08839981</v>
      </c>
      <c r="M368" s="1" t="s">
        <v>2059</v>
      </c>
      <c r="N368" s="1" t="s">
        <v>1855</v>
      </c>
      <c r="O368" s="1" t="str">
        <f>INT(K368)&amp;"°"&amp;INT(MOD(K368,1)*60)&amp;"'"&amp;
ROUND(MOD(MOD(K368,1)*60,1)*60,1)&amp;"""N"</f>
        <v>16°48'4.9"N</v>
      </c>
      <c r="P368" s="1" t="str">
        <f>INT(L368)&amp;"°"&amp;INT(MOD(L368,1)*60)&amp;"'"&amp;
ROUND(MOD(MOD(L368,1)*60,1)*60,1)&amp;"""E"</f>
        <v>107°5'18.2"E</v>
      </c>
      <c r="Q368" s="1" t="str">
        <f>O368 &amp; " " &amp; P368</f>
        <v>16°48'4.9"N 107°5'18.2"E</v>
      </c>
    </row>
    <row r="369" spans="1:17" ht="15.75" customHeight="1" x14ac:dyDescent="0.2">
      <c r="A369" s="1">
        <v>567</v>
      </c>
      <c r="B369" s="1" t="s">
        <v>2060</v>
      </c>
      <c r="C369" s="1" t="s">
        <v>15</v>
      </c>
      <c r="D369" s="1" t="s">
        <v>16</v>
      </c>
      <c r="E369" s="1" t="s">
        <v>2046</v>
      </c>
      <c r="F369" s="1" t="s">
        <v>1855</v>
      </c>
      <c r="G369" s="1" t="s">
        <v>2061</v>
      </c>
      <c r="H369" s="1" t="s">
        <v>2061</v>
      </c>
      <c r="I369" s="1" t="s">
        <v>21</v>
      </c>
      <c r="J369" s="1" t="s">
        <v>22</v>
      </c>
      <c r="K369" s="2">
        <v>16.90407313</v>
      </c>
      <c r="L369" s="2">
        <v>106.98012353999999</v>
      </c>
      <c r="M369" s="1" t="s">
        <v>2062</v>
      </c>
      <c r="N369" s="1" t="s">
        <v>1855</v>
      </c>
      <c r="O369" s="1" t="str">
        <f>INT(K369)&amp;"°"&amp;INT(MOD(K369,1)*60)&amp;"'"&amp;
ROUND(MOD(MOD(K369,1)*60,1)*60,1)&amp;"""N"</f>
        <v>16°54'14.7"N</v>
      </c>
      <c r="P369" s="1" t="str">
        <f>INT(L369)&amp;"°"&amp;INT(MOD(L369,1)*60)&amp;"'"&amp;
ROUND(MOD(MOD(L369,1)*60,1)*60,1)&amp;"""E"</f>
        <v>106°58'48.4"E</v>
      </c>
      <c r="Q369" s="1" t="str">
        <f>O369 &amp; " " &amp; P369</f>
        <v>16°54'14.7"N 106°58'48.4"E</v>
      </c>
    </row>
    <row r="370" spans="1:17" ht="15.75" customHeight="1" x14ac:dyDescent="0.2">
      <c r="A370" s="1">
        <v>572</v>
      </c>
      <c r="B370" s="1" t="s">
        <v>2077</v>
      </c>
      <c r="C370" s="1" t="s">
        <v>15</v>
      </c>
      <c r="D370" s="1" t="s">
        <v>16</v>
      </c>
      <c r="E370" s="1" t="s">
        <v>2046</v>
      </c>
      <c r="F370" s="1" t="s">
        <v>1855</v>
      </c>
      <c r="G370" s="1" t="s">
        <v>2078</v>
      </c>
      <c r="H370" s="1" t="s">
        <v>2079</v>
      </c>
      <c r="I370" s="1" t="s">
        <v>21</v>
      </c>
      <c r="J370" s="1" t="s">
        <v>22</v>
      </c>
      <c r="K370" s="2">
        <v>17.015146210000001</v>
      </c>
      <c r="L370" s="2">
        <v>106.93249096</v>
      </c>
      <c r="M370" s="1" t="s">
        <v>2080</v>
      </c>
      <c r="N370" s="1" t="s">
        <v>1855</v>
      </c>
      <c r="O370" s="1" t="str">
        <f>INT(K370)&amp;"°"&amp;INT(MOD(K370,1)*60)&amp;"'"&amp;
ROUND(MOD(MOD(K370,1)*60,1)*60,1)&amp;"""N"</f>
        <v>17°0'54.5"N</v>
      </c>
      <c r="P370" s="1" t="str">
        <f>INT(L370)&amp;"°"&amp;INT(MOD(L370,1)*60)&amp;"'"&amp;
ROUND(MOD(MOD(L370,1)*60,1)*60,1)&amp;"""E"</f>
        <v>106°55'57"E</v>
      </c>
      <c r="Q370" s="1" t="str">
        <f>O370 &amp; " " &amp; P370</f>
        <v>17°0'54.5"N 106°55'57"E</v>
      </c>
    </row>
    <row r="371" spans="1:17" ht="15.75" customHeight="1" x14ac:dyDescent="0.2">
      <c r="A371" s="1">
        <v>511</v>
      </c>
      <c r="B371" s="1" t="s">
        <v>1860</v>
      </c>
      <c r="C371" s="1" t="s">
        <v>15</v>
      </c>
      <c r="D371" s="1" t="s">
        <v>16</v>
      </c>
      <c r="E371" s="1" t="s">
        <v>1850</v>
      </c>
      <c r="F371" s="1" t="s">
        <v>1851</v>
      </c>
      <c r="G371" s="1" t="s">
        <v>1861</v>
      </c>
      <c r="H371" s="1" t="s">
        <v>1862</v>
      </c>
      <c r="I371" s="1" t="s">
        <v>21</v>
      </c>
      <c r="J371" s="1" t="s">
        <v>22</v>
      </c>
      <c r="K371" s="2">
        <v>17.11180585</v>
      </c>
      <c r="L371" s="2">
        <v>106.70841717</v>
      </c>
      <c r="M371" s="1" t="s">
        <v>1863</v>
      </c>
      <c r="N371" s="1" t="s">
        <v>1855</v>
      </c>
      <c r="O371" s="1" t="str">
        <f>INT(K371)&amp;"°"&amp;INT(MOD(K371,1)*60)&amp;"'"&amp;
ROUND(MOD(MOD(K371,1)*60,1)*60,1)&amp;"""N"</f>
        <v>17°6'42.5"N</v>
      </c>
      <c r="P371" s="1" t="str">
        <f>INT(L371)&amp;"°"&amp;INT(MOD(L371,1)*60)&amp;"'"&amp;
ROUND(MOD(MOD(L371,1)*60,1)*60,1)&amp;"""E"</f>
        <v>106°42'30.3"E</v>
      </c>
      <c r="Q371" s="1" t="str">
        <f>O371 &amp; " " &amp; P371</f>
        <v>17°6'42.5"N 106°42'30.3"E</v>
      </c>
    </row>
    <row r="372" spans="1:17" ht="15.75" customHeight="1" x14ac:dyDescent="0.2">
      <c r="A372" s="1">
        <v>564</v>
      </c>
      <c r="B372" s="1" t="s">
        <v>2049</v>
      </c>
      <c r="C372" s="1" t="s">
        <v>15</v>
      </c>
      <c r="D372" s="1" t="s">
        <v>16</v>
      </c>
      <c r="E372" s="1" t="s">
        <v>2046</v>
      </c>
      <c r="F372" s="1" t="s">
        <v>1855</v>
      </c>
      <c r="G372" s="1" t="s">
        <v>2050</v>
      </c>
      <c r="H372" s="1" t="s">
        <v>2051</v>
      </c>
      <c r="I372" s="1" t="s">
        <v>21</v>
      </c>
      <c r="J372" s="1" t="s">
        <v>22</v>
      </c>
      <c r="K372" s="2">
        <v>17.15869558</v>
      </c>
      <c r="L372" s="2">
        <v>107.33933874</v>
      </c>
      <c r="M372" s="1" t="s">
        <v>2050</v>
      </c>
      <c r="N372" s="1" t="s">
        <v>1855</v>
      </c>
      <c r="O372" s="1" t="str">
        <f>INT(K372)&amp;"°"&amp;INT(MOD(K372,1)*60)&amp;"'"&amp;
ROUND(MOD(MOD(K372,1)*60,1)*60,1)&amp;"""N"</f>
        <v>17°9'31.3"N</v>
      </c>
      <c r="P372" s="1" t="str">
        <f>INT(L372)&amp;"°"&amp;INT(MOD(L372,1)*60)&amp;"'"&amp;
ROUND(MOD(MOD(L372,1)*60,1)*60,1)&amp;"""E"</f>
        <v>107°20'21.6"E</v>
      </c>
      <c r="Q372" s="1" t="str">
        <f>O372 &amp; " " &amp; P372</f>
        <v>17°9'31.3"N 107°20'21.6"E</v>
      </c>
    </row>
    <row r="373" spans="1:17" ht="15.75" customHeight="1" x14ac:dyDescent="0.2">
      <c r="A373" s="1">
        <v>513</v>
      </c>
      <c r="B373" s="1" t="s">
        <v>1868</v>
      </c>
      <c r="C373" s="1" t="s">
        <v>15</v>
      </c>
      <c r="D373" s="1" t="s">
        <v>16</v>
      </c>
      <c r="E373" s="1" t="s">
        <v>1850</v>
      </c>
      <c r="F373" s="1" t="s">
        <v>1851</v>
      </c>
      <c r="G373" s="1" t="s">
        <v>1869</v>
      </c>
      <c r="H373" s="1" t="s">
        <v>1870</v>
      </c>
      <c r="I373" s="1" t="s">
        <v>21</v>
      </c>
      <c r="J373" s="1" t="s">
        <v>22</v>
      </c>
      <c r="K373" s="2">
        <v>17.27409153</v>
      </c>
      <c r="L373" s="2">
        <v>106.50129896999999</v>
      </c>
      <c r="M373" s="1" t="s">
        <v>1871</v>
      </c>
      <c r="N373" s="1" t="s">
        <v>1855</v>
      </c>
      <c r="O373" s="1" t="str">
        <f>INT(K373)&amp;"°"&amp;INT(MOD(K373,1)*60)&amp;"'"&amp;
ROUND(MOD(MOD(K373,1)*60,1)*60,1)&amp;"""N"</f>
        <v>17°16'26.7"N</v>
      </c>
      <c r="P373" s="1" t="str">
        <f>INT(L373)&amp;"°"&amp;INT(MOD(L373,1)*60)&amp;"'"&amp;
ROUND(MOD(MOD(L373,1)*60,1)*60,1)&amp;"""E"</f>
        <v>106°30'4.7"E</v>
      </c>
      <c r="Q373" s="1" t="str">
        <f>O373 &amp; " " &amp; P373</f>
        <v>17°16'26.7"N 106°30'4.7"E</v>
      </c>
    </row>
    <row r="374" spans="1:17" ht="15.75" customHeight="1" x14ac:dyDescent="0.2">
      <c r="A374" s="1">
        <v>515</v>
      </c>
      <c r="B374" s="1" t="s">
        <v>1876</v>
      </c>
      <c r="C374" s="1" t="s">
        <v>15</v>
      </c>
      <c r="D374" s="1" t="s">
        <v>16</v>
      </c>
      <c r="E374" s="1" t="s">
        <v>1850</v>
      </c>
      <c r="F374" s="1" t="s">
        <v>1851</v>
      </c>
      <c r="G374" s="1" t="s">
        <v>1877</v>
      </c>
      <c r="H374" s="1" t="s">
        <v>1878</v>
      </c>
      <c r="I374" s="1" t="s">
        <v>27</v>
      </c>
      <c r="J374" s="1" t="s">
        <v>28</v>
      </c>
      <c r="K374" s="2">
        <v>17.446606750000001</v>
      </c>
      <c r="L374" s="2">
        <v>106.57749292</v>
      </c>
      <c r="M374" s="1" t="s">
        <v>1879</v>
      </c>
      <c r="N374" s="1" t="s">
        <v>1855</v>
      </c>
      <c r="O374" s="1" t="str">
        <f>INT(K374)&amp;"°"&amp;INT(MOD(K374,1)*60)&amp;"'"&amp;
ROUND(MOD(MOD(K374,1)*60,1)*60,1)&amp;"""N"</f>
        <v>17°26'47.8"N</v>
      </c>
      <c r="P374" s="1" t="str">
        <f>INT(L374)&amp;"°"&amp;INT(MOD(L374,1)*60)&amp;"'"&amp;
ROUND(MOD(MOD(L374,1)*60,1)*60,1)&amp;"""E"</f>
        <v>106°34'39"E</v>
      </c>
      <c r="Q374" s="1" t="str">
        <f>O374 &amp; " " &amp; P374</f>
        <v>17°26'47.8"N 106°34'39"E</v>
      </c>
    </row>
    <row r="375" spans="1:17" ht="15.75" customHeight="1" x14ac:dyDescent="0.2">
      <c r="A375" s="1">
        <v>510</v>
      </c>
      <c r="B375" s="1" t="s">
        <v>1856</v>
      </c>
      <c r="C375" s="1" t="s">
        <v>15</v>
      </c>
      <c r="D375" s="1" t="s">
        <v>16</v>
      </c>
      <c r="E375" s="1" t="s">
        <v>1850</v>
      </c>
      <c r="F375" s="1" t="s">
        <v>1851</v>
      </c>
      <c r="G375" s="1" t="s">
        <v>1857</v>
      </c>
      <c r="H375" s="1" t="s">
        <v>1858</v>
      </c>
      <c r="I375" s="1" t="s">
        <v>21</v>
      </c>
      <c r="J375" s="1" t="s">
        <v>22</v>
      </c>
      <c r="K375" s="2">
        <v>17.522085140000002</v>
      </c>
      <c r="L375" s="2">
        <v>106.27705185000001</v>
      </c>
      <c r="M375" s="1" t="s">
        <v>1859</v>
      </c>
      <c r="N375" s="1" t="s">
        <v>1855</v>
      </c>
      <c r="O375" s="1" t="str">
        <f>INT(K375)&amp;"°"&amp;INT(MOD(K375,1)*60)&amp;"'"&amp;
ROUND(MOD(MOD(K375,1)*60,1)*60,1)&amp;"""N"</f>
        <v>17°31'19.5"N</v>
      </c>
      <c r="P375" s="1" t="str">
        <f>INT(L375)&amp;"°"&amp;INT(MOD(L375,1)*60)&amp;"'"&amp;
ROUND(MOD(MOD(L375,1)*60,1)*60,1)&amp;"""E"</f>
        <v>106°16'37.4"E</v>
      </c>
      <c r="Q375" s="1" t="str">
        <f>O375 &amp; " " &amp; P375</f>
        <v>17°31'19.5"N 106°16'37.4"E</v>
      </c>
    </row>
    <row r="376" spans="1:17" ht="15.75" customHeight="1" x14ac:dyDescent="0.2">
      <c r="A376" s="1">
        <v>509</v>
      </c>
      <c r="B376" s="1" t="s">
        <v>1849</v>
      </c>
      <c r="C376" s="1" t="s">
        <v>15</v>
      </c>
      <c r="D376" s="1" t="s">
        <v>16</v>
      </c>
      <c r="E376" s="1" t="s">
        <v>1850</v>
      </c>
      <c r="F376" s="1" t="s">
        <v>1851</v>
      </c>
      <c r="G376" s="1" t="s">
        <v>1852</v>
      </c>
      <c r="H376" s="1" t="s">
        <v>1853</v>
      </c>
      <c r="I376" s="1" t="s">
        <v>53</v>
      </c>
      <c r="J376" s="1" t="s">
        <v>54</v>
      </c>
      <c r="K376" s="2">
        <v>17.731118250000002</v>
      </c>
      <c r="L376" s="2">
        <v>106.36750407</v>
      </c>
      <c r="M376" s="1" t="s">
        <v>1854</v>
      </c>
      <c r="N376" s="1" t="s">
        <v>1855</v>
      </c>
      <c r="O376" s="1" t="str">
        <f>INT(K376)&amp;"°"&amp;INT(MOD(K376,1)*60)&amp;"'"&amp;
ROUND(MOD(MOD(K376,1)*60,1)*60,1)&amp;"""N"</f>
        <v>17°43'52"N</v>
      </c>
      <c r="P376" s="1" t="str">
        <f>INT(L376)&amp;"°"&amp;INT(MOD(L376,1)*60)&amp;"'"&amp;
ROUND(MOD(MOD(L376,1)*60,1)*60,1)&amp;"""E"</f>
        <v>106°22'3"E</v>
      </c>
      <c r="Q376" s="1" t="str">
        <f>O376 &amp; " " &amp; P376</f>
        <v>17°43'52"N 106°22'3"E</v>
      </c>
    </row>
    <row r="377" spans="1:17" ht="15.75" customHeight="1" x14ac:dyDescent="0.2">
      <c r="A377" s="1">
        <v>512</v>
      </c>
      <c r="B377" s="1" t="s">
        <v>1864</v>
      </c>
      <c r="C377" s="1" t="s">
        <v>15</v>
      </c>
      <c r="D377" s="1" t="s">
        <v>16</v>
      </c>
      <c r="E377" s="1" t="s">
        <v>1850</v>
      </c>
      <c r="F377" s="1" t="s">
        <v>1851</v>
      </c>
      <c r="G377" s="1" t="s">
        <v>1865</v>
      </c>
      <c r="H377" s="1" t="s">
        <v>1866</v>
      </c>
      <c r="I377" s="1" t="s">
        <v>21</v>
      </c>
      <c r="J377" s="1" t="s">
        <v>22</v>
      </c>
      <c r="K377" s="2">
        <v>17.758437260000001</v>
      </c>
      <c r="L377" s="2">
        <v>105.88929400000001</v>
      </c>
      <c r="M377" s="1" t="s">
        <v>1867</v>
      </c>
      <c r="N377" s="1" t="s">
        <v>1855</v>
      </c>
      <c r="O377" s="1" t="str">
        <f>INT(K377)&amp;"°"&amp;INT(MOD(K377,1)*60)&amp;"'"&amp;
ROUND(MOD(MOD(K377,1)*60,1)*60,1)&amp;"""N"</f>
        <v>17°45'30.4"N</v>
      </c>
      <c r="P377" s="1" t="str">
        <f>INT(L377)&amp;"°"&amp;INT(MOD(L377,1)*60)&amp;"'"&amp;
ROUND(MOD(MOD(L377,1)*60,1)*60,1)&amp;"""E"</f>
        <v>105°53'21.5"E</v>
      </c>
      <c r="Q377" s="1" t="str">
        <f>O377 &amp; " " &amp; P377</f>
        <v>17°45'30.4"N 105°53'21.5"E</v>
      </c>
    </row>
    <row r="378" spans="1:17" ht="15.75" customHeight="1" x14ac:dyDescent="0.2">
      <c r="A378" s="1">
        <v>514</v>
      </c>
      <c r="B378" s="1" t="s">
        <v>1872</v>
      </c>
      <c r="C378" s="1" t="s">
        <v>15</v>
      </c>
      <c r="D378" s="1" t="s">
        <v>16</v>
      </c>
      <c r="E378" s="1" t="s">
        <v>1850</v>
      </c>
      <c r="F378" s="1" t="s">
        <v>1851</v>
      </c>
      <c r="G378" s="1" t="s">
        <v>1873</v>
      </c>
      <c r="H378" s="1" t="s">
        <v>1874</v>
      </c>
      <c r="I378" s="1" t="s">
        <v>21</v>
      </c>
      <c r="J378" s="1" t="s">
        <v>22</v>
      </c>
      <c r="K378" s="2">
        <v>17.875044450000001</v>
      </c>
      <c r="L378" s="2">
        <v>106.37327083</v>
      </c>
      <c r="M378" s="1" t="s">
        <v>1875</v>
      </c>
      <c r="N378" s="1" t="s">
        <v>1855</v>
      </c>
      <c r="O378" s="1" t="str">
        <f>INT(K378)&amp;"°"&amp;INT(MOD(K378,1)*60)&amp;"'"&amp;
ROUND(MOD(MOD(K378,1)*60,1)*60,1)&amp;"""N"</f>
        <v>17°52'30.2"N</v>
      </c>
      <c r="P378" s="1" t="str">
        <f>INT(L378)&amp;"°"&amp;INT(MOD(L378,1)*60)&amp;"'"&amp;
ROUND(MOD(MOD(L378,1)*60,1)*60,1)&amp;"""E"</f>
        <v>106°22'23.8"E</v>
      </c>
      <c r="Q378" s="1" t="str">
        <f>O378 &amp; " " &amp; P378</f>
        <v>17°52'30.2"N 106°22'23.8"E</v>
      </c>
    </row>
    <row r="379" spans="1:17" ht="15.75" customHeight="1" x14ac:dyDescent="0.2">
      <c r="A379" s="1">
        <v>516</v>
      </c>
      <c r="B379" s="1" t="s">
        <v>1880</v>
      </c>
      <c r="C379" s="1" t="s">
        <v>15</v>
      </c>
      <c r="D379" s="1" t="s">
        <v>16</v>
      </c>
      <c r="E379" s="1" t="s">
        <v>1850</v>
      </c>
      <c r="F379" s="1" t="s">
        <v>1851</v>
      </c>
      <c r="G379" s="1" t="s">
        <v>1881</v>
      </c>
      <c r="H379" s="1" t="s">
        <v>1882</v>
      </c>
      <c r="I379" s="1" t="s">
        <v>21</v>
      </c>
      <c r="J379" s="1" t="s">
        <v>22</v>
      </c>
      <c r="K379" s="2">
        <v>17.910721429999999</v>
      </c>
      <c r="L379" s="2">
        <v>106.0101694</v>
      </c>
      <c r="M379" s="1" t="s">
        <v>1883</v>
      </c>
      <c r="N379" s="1" t="s">
        <v>1855</v>
      </c>
      <c r="O379" s="1" t="str">
        <f>INT(K379)&amp;"°"&amp;INT(MOD(K379,1)*60)&amp;"'"&amp;
ROUND(MOD(MOD(K379,1)*60,1)*60,1)&amp;"""N"</f>
        <v>17°54'38.6"N</v>
      </c>
      <c r="P379" s="1" t="str">
        <f>INT(L379)&amp;"°"&amp;INT(MOD(L379,1)*60)&amp;"'"&amp;
ROUND(MOD(MOD(L379,1)*60,1)*60,1)&amp;"""E"</f>
        <v>106°0'36.6"E</v>
      </c>
      <c r="Q379" s="1" t="str">
        <f>O379 &amp; " " &amp; P379</f>
        <v>17°54'38.6"N 106°0'36.6"E</v>
      </c>
    </row>
    <row r="380" spans="1:17" ht="15.75" customHeight="1" x14ac:dyDescent="0.2">
      <c r="A380" s="1">
        <v>268</v>
      </c>
      <c r="B380" s="1" t="s">
        <v>997</v>
      </c>
      <c r="C380" s="1" t="s">
        <v>15</v>
      </c>
      <c r="D380" s="1" t="s">
        <v>16</v>
      </c>
      <c r="E380" s="1" t="s">
        <v>968</v>
      </c>
      <c r="F380" s="1" t="s">
        <v>969</v>
      </c>
      <c r="G380" s="1" t="s">
        <v>998</v>
      </c>
      <c r="H380" s="1" t="s">
        <v>995</v>
      </c>
      <c r="I380" s="1" t="s">
        <v>53</v>
      </c>
      <c r="J380" s="1" t="s">
        <v>54</v>
      </c>
      <c r="K380" s="2">
        <v>18.039933189999999</v>
      </c>
      <c r="L380" s="2">
        <v>106.36670316</v>
      </c>
      <c r="M380" s="1" t="s">
        <v>999</v>
      </c>
      <c r="N380" s="1" t="s">
        <v>969</v>
      </c>
      <c r="O380" s="1" t="str">
        <f>INT(K380)&amp;"°"&amp;INT(MOD(K380,1)*60)&amp;"'"&amp;
ROUND(MOD(MOD(K380,1)*60,1)*60,1)&amp;"""N"</f>
        <v>18°2'23.8"N</v>
      </c>
      <c r="P380" s="1" t="str">
        <f>INT(L380)&amp;"°"&amp;INT(MOD(L380,1)*60)&amp;"'"&amp;
ROUND(MOD(MOD(L380,1)*60,1)*60,1)&amp;"""E"</f>
        <v>106°22'0.1"E</v>
      </c>
      <c r="Q380" s="1" t="str">
        <f>O380 &amp; " " &amp; P380</f>
        <v>18°2'23.8"N 106°22'0.1"E</v>
      </c>
    </row>
    <row r="381" spans="1:17" ht="15.75" customHeight="1" x14ac:dyDescent="0.2">
      <c r="A381" s="1">
        <v>267</v>
      </c>
      <c r="B381" s="1" t="s">
        <v>993</v>
      </c>
      <c r="C381" s="1" t="s">
        <v>15</v>
      </c>
      <c r="D381" s="1" t="s">
        <v>16</v>
      </c>
      <c r="E381" s="1" t="s">
        <v>968</v>
      </c>
      <c r="F381" s="1" t="s">
        <v>969</v>
      </c>
      <c r="G381" s="1" t="s">
        <v>994</v>
      </c>
      <c r="H381" s="1" t="s">
        <v>995</v>
      </c>
      <c r="I381" s="1" t="s">
        <v>21</v>
      </c>
      <c r="J381" s="1" t="s">
        <v>22</v>
      </c>
      <c r="K381" s="2">
        <v>18.06475481</v>
      </c>
      <c r="L381" s="2">
        <v>106.18083455</v>
      </c>
      <c r="M381" s="1" t="s">
        <v>996</v>
      </c>
      <c r="N381" s="1" t="s">
        <v>969</v>
      </c>
      <c r="O381" s="1" t="str">
        <f>INT(K381)&amp;"°"&amp;INT(MOD(K381,1)*60)&amp;"'"&amp;
ROUND(MOD(MOD(K381,1)*60,1)*60,1)&amp;"""N"</f>
        <v>18°3'53.1"N</v>
      </c>
      <c r="P381" s="1" t="str">
        <f>INT(L381)&amp;"°"&amp;INT(MOD(L381,1)*60)&amp;"'"&amp;
ROUND(MOD(MOD(L381,1)*60,1)*60,1)&amp;"""E"</f>
        <v>106°10'51"E</v>
      </c>
      <c r="Q381" s="1" t="str">
        <f>O381 &amp; " " &amp; P381</f>
        <v>18°3'53.1"N 106°10'51"E</v>
      </c>
    </row>
    <row r="382" spans="1:17" ht="15.75" customHeight="1" x14ac:dyDescent="0.2">
      <c r="A382" s="1">
        <v>265</v>
      </c>
      <c r="B382" s="1" t="s">
        <v>987</v>
      </c>
      <c r="C382" s="1" t="s">
        <v>15</v>
      </c>
      <c r="D382" s="1" t="s">
        <v>16</v>
      </c>
      <c r="E382" s="1" t="s">
        <v>968</v>
      </c>
      <c r="F382" s="1" t="s">
        <v>969</v>
      </c>
      <c r="G382" s="1" t="s">
        <v>988</v>
      </c>
      <c r="H382" s="1" t="s">
        <v>989</v>
      </c>
      <c r="I382" s="1" t="s">
        <v>21</v>
      </c>
      <c r="J382" s="1" t="s">
        <v>22</v>
      </c>
      <c r="K382" s="2">
        <v>18.177107970000002</v>
      </c>
      <c r="L382" s="2">
        <v>105.67942182</v>
      </c>
      <c r="M382" s="1" t="s">
        <v>988</v>
      </c>
      <c r="N382" s="1" t="s">
        <v>969</v>
      </c>
      <c r="O382" s="1" t="str">
        <f>INT(K382)&amp;"°"&amp;INT(MOD(K382,1)*60)&amp;"'"&amp;
ROUND(MOD(MOD(K382,1)*60,1)*60,1)&amp;"""N"</f>
        <v>18°10'37.6"N</v>
      </c>
      <c r="P382" s="1" t="str">
        <f>INT(L382)&amp;"°"&amp;INT(MOD(L382,1)*60)&amp;"'"&amp;
ROUND(MOD(MOD(L382,1)*60,1)*60,1)&amp;"""E"</f>
        <v>105°40'45.9"E</v>
      </c>
      <c r="Q382" s="1" t="str">
        <f>O382 &amp; " " &amp; P382</f>
        <v>18°10'37.6"N 105°40'45.9"E</v>
      </c>
    </row>
    <row r="383" spans="1:17" ht="15.75" customHeight="1" x14ac:dyDescent="0.2">
      <c r="A383" s="1">
        <v>260</v>
      </c>
      <c r="B383" s="1" t="s">
        <v>967</v>
      </c>
      <c r="C383" s="1" t="s">
        <v>15</v>
      </c>
      <c r="D383" s="1" t="s">
        <v>16</v>
      </c>
      <c r="E383" s="1" t="s">
        <v>968</v>
      </c>
      <c r="F383" s="1" t="s">
        <v>969</v>
      </c>
      <c r="G383" s="1" t="s">
        <v>970</v>
      </c>
      <c r="H383" s="1" t="s">
        <v>971</v>
      </c>
      <c r="I383" s="1" t="s">
        <v>21</v>
      </c>
      <c r="J383" s="1" t="s">
        <v>22</v>
      </c>
      <c r="K383" s="2">
        <v>18.194500560000002</v>
      </c>
      <c r="L383" s="2">
        <v>106.00573635000001</v>
      </c>
      <c r="M383" s="1" t="s">
        <v>970</v>
      </c>
      <c r="N383" s="1" t="s">
        <v>969</v>
      </c>
      <c r="O383" s="1" t="str">
        <f>INT(K383)&amp;"°"&amp;INT(MOD(K383,1)*60)&amp;"'"&amp;
ROUND(MOD(MOD(K383,1)*60,1)*60,1)&amp;"""N"</f>
        <v>18°11'40.2"N</v>
      </c>
      <c r="P383" s="1" t="str">
        <f>INT(L383)&amp;"°"&amp;INT(MOD(L383,1)*60)&amp;"'"&amp;
ROUND(MOD(MOD(L383,1)*60,1)*60,1)&amp;"""E"</f>
        <v>106°0'20.7"E</v>
      </c>
      <c r="Q383" s="1" t="str">
        <f>O383 &amp; " " &amp; P383</f>
        <v>18°11'40.2"N 106°0'20.7"E</v>
      </c>
    </row>
    <row r="384" spans="1:17" ht="15.75" customHeight="1" x14ac:dyDescent="0.2">
      <c r="A384" s="1">
        <v>272</v>
      </c>
      <c r="B384" s="1" t="s">
        <v>1010</v>
      </c>
      <c r="C384" s="1" t="s">
        <v>15</v>
      </c>
      <c r="D384" s="1" t="s">
        <v>16</v>
      </c>
      <c r="E384" s="1" t="s">
        <v>968</v>
      </c>
      <c r="F384" s="1" t="s">
        <v>969</v>
      </c>
      <c r="G384" s="1" t="s">
        <v>1011</v>
      </c>
      <c r="H384" s="1" t="s">
        <v>1012</v>
      </c>
      <c r="I384" s="1" t="s">
        <v>21</v>
      </c>
      <c r="J384" s="1" t="s">
        <v>22</v>
      </c>
      <c r="K384" s="2">
        <v>18.32481786</v>
      </c>
      <c r="L384" s="2">
        <v>105.44682219000001</v>
      </c>
      <c r="M384" s="1" t="s">
        <v>1011</v>
      </c>
      <c r="N384" s="1" t="s">
        <v>969</v>
      </c>
      <c r="O384" s="1" t="str">
        <f>INT(K384)&amp;"°"&amp;INT(MOD(K384,1)*60)&amp;"'"&amp;
ROUND(MOD(MOD(K384,1)*60,1)*60,1)&amp;"""N"</f>
        <v>18°19'29.3"N</v>
      </c>
      <c r="P384" s="1" t="str">
        <f>INT(L384)&amp;"°"&amp;INT(MOD(L384,1)*60)&amp;"'"&amp;
ROUND(MOD(MOD(L384,1)*60,1)*60,1)&amp;"""E"</f>
        <v>105°26'48.6"E</v>
      </c>
      <c r="Q384" s="1" t="str">
        <f>O384 &amp; " " &amp; P384</f>
        <v>18°19'29.3"N 105°26'48.6"E</v>
      </c>
    </row>
    <row r="385" spans="1:17" ht="15.75" customHeight="1" x14ac:dyDescent="0.2">
      <c r="A385" s="1">
        <v>271</v>
      </c>
      <c r="B385" s="1" t="s">
        <v>1007</v>
      </c>
      <c r="C385" s="1" t="s">
        <v>15</v>
      </c>
      <c r="D385" s="1" t="s">
        <v>16</v>
      </c>
      <c r="E385" s="1" t="s">
        <v>968</v>
      </c>
      <c r="F385" s="1" t="s">
        <v>969</v>
      </c>
      <c r="G385" s="1" t="s">
        <v>1008</v>
      </c>
      <c r="H385" s="1" t="s">
        <v>1009</v>
      </c>
      <c r="I385" s="1" t="s">
        <v>21</v>
      </c>
      <c r="J385" s="1" t="s">
        <v>22</v>
      </c>
      <c r="K385" s="2">
        <v>18.339631000000001</v>
      </c>
      <c r="L385" s="2">
        <v>105.87436307999999</v>
      </c>
      <c r="M385" s="1" t="s">
        <v>982</v>
      </c>
      <c r="N385" s="1" t="s">
        <v>969</v>
      </c>
      <c r="O385" s="1" t="str">
        <f>INT(K385)&amp;"°"&amp;INT(MOD(K385,1)*60)&amp;"'"&amp;
ROUND(MOD(MOD(K385,1)*60,1)*60,1)&amp;"""N"</f>
        <v>18°20'22.7"N</v>
      </c>
      <c r="P385" s="1" t="str">
        <f>INT(L385)&amp;"°"&amp;INT(MOD(L385,1)*60)&amp;"'"&amp;
ROUND(MOD(MOD(L385,1)*60,1)*60,1)&amp;"""E"</f>
        <v>105°52'27.7"E</v>
      </c>
      <c r="Q385" s="1" t="str">
        <f>O385 &amp; " " &amp; P385</f>
        <v>18°20'22.7"N 105°52'27.7"E</v>
      </c>
    </row>
    <row r="386" spans="1:17" ht="15.75" customHeight="1" x14ac:dyDescent="0.2">
      <c r="A386" s="1">
        <v>263</v>
      </c>
      <c r="B386" s="1" t="s">
        <v>980</v>
      </c>
      <c r="C386" s="1" t="s">
        <v>15</v>
      </c>
      <c r="D386" s="1" t="s">
        <v>16</v>
      </c>
      <c r="E386" s="1" t="s">
        <v>968</v>
      </c>
      <c r="F386" s="1" t="s">
        <v>969</v>
      </c>
      <c r="G386" s="1" t="s">
        <v>969</v>
      </c>
      <c r="H386" s="1" t="s">
        <v>981</v>
      </c>
      <c r="I386" s="1" t="s">
        <v>27</v>
      </c>
      <c r="J386" s="1" t="s">
        <v>28</v>
      </c>
      <c r="K386" s="2">
        <v>18.355070439999999</v>
      </c>
      <c r="L386" s="2">
        <v>105.90298894</v>
      </c>
      <c r="M386" s="1" t="s">
        <v>982</v>
      </c>
      <c r="N386" s="1" t="s">
        <v>969</v>
      </c>
      <c r="O386" s="1" t="str">
        <f>INT(K386)&amp;"°"&amp;INT(MOD(K386,1)*60)&amp;"'"&amp;
ROUND(MOD(MOD(K386,1)*60,1)*60,1)&amp;"""N"</f>
        <v>18°21'18.3"N</v>
      </c>
      <c r="P386" s="1" t="str">
        <f>INT(L386)&amp;"°"&amp;INT(MOD(L386,1)*60)&amp;"'"&amp;
ROUND(MOD(MOD(L386,1)*60,1)*60,1)&amp;"""E"</f>
        <v>105°54'10.8"E</v>
      </c>
      <c r="Q386" s="1" t="str">
        <f>O386 &amp; " " &amp; P386</f>
        <v>18°21'18.3"N 105°54'10.8"E</v>
      </c>
    </row>
    <row r="387" spans="1:17" ht="15.75" customHeight="1" x14ac:dyDescent="0.2">
      <c r="A387" s="1">
        <v>261</v>
      </c>
      <c r="B387" s="1" t="s">
        <v>972</v>
      </c>
      <c r="C387" s="1" t="s">
        <v>15</v>
      </c>
      <c r="D387" s="1" t="s">
        <v>16</v>
      </c>
      <c r="E387" s="1" t="s">
        <v>968</v>
      </c>
      <c r="F387" s="1" t="s">
        <v>969</v>
      </c>
      <c r="G387" s="1" t="s">
        <v>973</v>
      </c>
      <c r="H387" s="1" t="s">
        <v>974</v>
      </c>
      <c r="I387" s="1" t="s">
        <v>21</v>
      </c>
      <c r="J387" s="1" t="s">
        <v>22</v>
      </c>
      <c r="K387" s="2">
        <v>18.440100749999999</v>
      </c>
      <c r="L387" s="2">
        <v>105.73336307</v>
      </c>
      <c r="M387" s="1" t="s">
        <v>975</v>
      </c>
      <c r="N387" s="1" t="s">
        <v>969</v>
      </c>
      <c r="O387" s="1" t="str">
        <f>INT(K387)&amp;"°"&amp;INT(MOD(K387,1)*60)&amp;"'"&amp;
ROUND(MOD(MOD(K387,1)*60,1)*60,1)&amp;"""N"</f>
        <v>18°26'24.4"N</v>
      </c>
      <c r="P387" s="1" t="str">
        <f>INT(L387)&amp;"°"&amp;INT(MOD(L387,1)*60)&amp;"'"&amp;
ROUND(MOD(MOD(L387,1)*60,1)*60,1)&amp;"""E"</f>
        <v>105°44'0.1"E</v>
      </c>
      <c r="Q387" s="1" t="str">
        <f>O387 &amp; " " &amp; P387</f>
        <v>18°26'24.4"N 105°44'0.1"E</v>
      </c>
    </row>
    <row r="388" spans="1:17" ht="15.75" customHeight="1" x14ac:dyDescent="0.2">
      <c r="A388" s="1">
        <v>269</v>
      </c>
      <c r="B388" s="1" t="s">
        <v>1000</v>
      </c>
      <c r="C388" s="1" t="s">
        <v>15</v>
      </c>
      <c r="D388" s="1" t="s">
        <v>16</v>
      </c>
      <c r="E388" s="1" t="s">
        <v>968</v>
      </c>
      <c r="F388" s="1" t="s">
        <v>969</v>
      </c>
      <c r="G388" s="1" t="s">
        <v>1001</v>
      </c>
      <c r="H388" s="1" t="s">
        <v>1002</v>
      </c>
      <c r="I388" s="1" t="s">
        <v>21</v>
      </c>
      <c r="J388" s="1" t="s">
        <v>22</v>
      </c>
      <c r="K388" s="2">
        <v>18.468681929999999</v>
      </c>
      <c r="L388" s="2">
        <v>105.86455485</v>
      </c>
      <c r="M388" s="1" t="s">
        <v>1001</v>
      </c>
      <c r="N388" s="1" t="s">
        <v>969</v>
      </c>
      <c r="O388" s="1" t="str">
        <f>INT(K388)&amp;"°"&amp;INT(MOD(K388,1)*60)&amp;"'"&amp;
ROUND(MOD(MOD(K388,1)*60,1)*60,1)&amp;"""N"</f>
        <v>18°28'7.3"N</v>
      </c>
      <c r="P388" s="1" t="str">
        <f>INT(L388)&amp;"°"&amp;INT(MOD(L388,1)*60)&amp;"'"&amp;
ROUND(MOD(MOD(L388,1)*60,1)*60,1)&amp;"""E"</f>
        <v>105°51'52.4"E</v>
      </c>
      <c r="Q388" s="1" t="str">
        <f>O388 &amp; " " &amp; P388</f>
        <v>18°28'7.3"N 105°51'52.4"E</v>
      </c>
    </row>
    <row r="389" spans="1:17" ht="15.75" customHeight="1" x14ac:dyDescent="0.2">
      <c r="A389" s="1">
        <v>266</v>
      </c>
      <c r="B389" s="1" t="s">
        <v>990</v>
      </c>
      <c r="C389" s="1" t="s">
        <v>15</v>
      </c>
      <c r="D389" s="1" t="s">
        <v>16</v>
      </c>
      <c r="E389" s="1" t="s">
        <v>968</v>
      </c>
      <c r="F389" s="1" t="s">
        <v>969</v>
      </c>
      <c r="G389" s="1" t="s">
        <v>991</v>
      </c>
      <c r="H389" s="1" t="s">
        <v>992</v>
      </c>
      <c r="I389" s="1" t="s">
        <v>21</v>
      </c>
      <c r="J389" s="1" t="s">
        <v>22</v>
      </c>
      <c r="K389" s="2">
        <v>18.478045460000001</v>
      </c>
      <c r="L389" s="2">
        <v>105.30640198</v>
      </c>
      <c r="M389" s="1" t="s">
        <v>940</v>
      </c>
      <c r="N389" s="1" t="s">
        <v>969</v>
      </c>
      <c r="O389" s="1" t="str">
        <f>INT(K389)&amp;"°"&amp;INT(MOD(K389,1)*60)&amp;"'"&amp;
ROUND(MOD(MOD(K389,1)*60,1)*60,1)&amp;"""N"</f>
        <v>18°28'41"N</v>
      </c>
      <c r="P389" s="1" t="str">
        <f>INT(L389)&amp;"°"&amp;INT(MOD(L389,1)*60)&amp;"'"&amp;
ROUND(MOD(MOD(L389,1)*60,1)*60,1)&amp;"""E"</f>
        <v>105°18'23"E</v>
      </c>
      <c r="Q389" s="1" t="str">
        <f>O389 &amp; " " &amp; P389</f>
        <v>18°28'41"N 105°18'23"E</v>
      </c>
    </row>
    <row r="390" spans="1:17" ht="15.75" customHeight="1" x14ac:dyDescent="0.2">
      <c r="A390" s="1">
        <v>262</v>
      </c>
      <c r="B390" s="1" t="s">
        <v>976</v>
      </c>
      <c r="C390" s="1" t="s">
        <v>15</v>
      </c>
      <c r="D390" s="1" t="s">
        <v>16</v>
      </c>
      <c r="E390" s="1" t="s">
        <v>968</v>
      </c>
      <c r="F390" s="1" t="s">
        <v>969</v>
      </c>
      <c r="G390" s="1" t="s">
        <v>977</v>
      </c>
      <c r="H390" s="1" t="s">
        <v>978</v>
      </c>
      <c r="I390" s="1" t="s">
        <v>21</v>
      </c>
      <c r="J390" s="1" t="s">
        <v>22</v>
      </c>
      <c r="K390" s="2">
        <v>18.495367359999999</v>
      </c>
      <c r="L390" s="2">
        <v>105.60619547</v>
      </c>
      <c r="M390" s="1" t="s">
        <v>979</v>
      </c>
      <c r="N390" s="1" t="s">
        <v>969</v>
      </c>
      <c r="O390" s="1" t="str">
        <f>INT(K390)&amp;"°"&amp;INT(MOD(K390,1)*60)&amp;"'"&amp;
ROUND(MOD(MOD(K390,1)*60,1)*60,1)&amp;"""N"</f>
        <v>18°29'43.3"N</v>
      </c>
      <c r="P390" s="1" t="str">
        <f>INT(L390)&amp;"°"&amp;INT(MOD(L390,1)*60)&amp;"'"&amp;
ROUND(MOD(MOD(L390,1)*60,1)*60,1)&amp;"""E"</f>
        <v>105°36'22.3"E</v>
      </c>
      <c r="Q390" s="1" t="str">
        <f>O390 &amp; " " &amp; P390</f>
        <v>18°29'43.3"N 105°36'22.3"E</v>
      </c>
    </row>
    <row r="391" spans="1:17" ht="15.75" customHeight="1" x14ac:dyDescent="0.2">
      <c r="A391" s="1">
        <v>264</v>
      </c>
      <c r="B391" s="1" t="s">
        <v>983</v>
      </c>
      <c r="C391" s="1" t="s">
        <v>15</v>
      </c>
      <c r="D391" s="1" t="s">
        <v>16</v>
      </c>
      <c r="E391" s="1" t="s">
        <v>968</v>
      </c>
      <c r="F391" s="1" t="s">
        <v>969</v>
      </c>
      <c r="G391" s="1" t="s">
        <v>984</v>
      </c>
      <c r="H391" s="1" t="s">
        <v>985</v>
      </c>
      <c r="I391" s="1" t="s">
        <v>53</v>
      </c>
      <c r="J391" s="1" t="s">
        <v>54</v>
      </c>
      <c r="K391" s="2">
        <v>18.530814830000001</v>
      </c>
      <c r="L391" s="2">
        <v>105.70895907000001</v>
      </c>
      <c r="M391" s="1" t="s">
        <v>986</v>
      </c>
      <c r="N391" s="1" t="s">
        <v>969</v>
      </c>
      <c r="O391" s="1" t="str">
        <f>INT(K391)&amp;"°"&amp;INT(MOD(K391,1)*60)&amp;"'"&amp;
ROUND(MOD(MOD(K391,1)*60,1)*60,1)&amp;"""N"</f>
        <v>18°31'50.9"N</v>
      </c>
      <c r="P391" s="1" t="str">
        <f>INT(L391)&amp;"°"&amp;INT(MOD(L391,1)*60)&amp;"'"&amp;
ROUND(MOD(MOD(L391,1)*60,1)*60,1)&amp;"""E"</f>
        <v>105°42'32.3"E</v>
      </c>
      <c r="Q391" s="1" t="str">
        <f>O391 &amp; " " &amp; P391</f>
        <v>18°31'50.9"N 105°42'32.3"E</v>
      </c>
    </row>
    <row r="392" spans="1:17" ht="15.75" customHeight="1" x14ac:dyDescent="0.2">
      <c r="A392" s="1">
        <v>270</v>
      </c>
      <c r="B392" s="1" t="s">
        <v>1003</v>
      </c>
      <c r="C392" s="1" t="s">
        <v>15</v>
      </c>
      <c r="D392" s="1" t="s">
        <v>16</v>
      </c>
      <c r="E392" s="1" t="s">
        <v>968</v>
      </c>
      <c r="F392" s="1" t="s">
        <v>969</v>
      </c>
      <c r="G392" s="1" t="s">
        <v>1004</v>
      </c>
      <c r="H392" s="1" t="s">
        <v>1005</v>
      </c>
      <c r="I392" s="1" t="s">
        <v>21</v>
      </c>
      <c r="J392" s="1" t="s">
        <v>22</v>
      </c>
      <c r="K392" s="2">
        <v>18.62619566</v>
      </c>
      <c r="L392" s="2">
        <v>105.76916036</v>
      </c>
      <c r="M392" s="1" t="s">
        <v>1006</v>
      </c>
      <c r="N392" s="1" t="s">
        <v>969</v>
      </c>
      <c r="O392" s="1" t="str">
        <f>INT(K392)&amp;"°"&amp;INT(MOD(K392,1)*60)&amp;"'"&amp;
ROUND(MOD(MOD(K392,1)*60,1)*60,1)&amp;"""N"</f>
        <v>18°37'34.3"N</v>
      </c>
      <c r="P392" s="1" t="str">
        <f>INT(L392)&amp;"°"&amp;INT(MOD(L392,1)*60)&amp;"'"&amp;
ROUND(MOD(MOD(L392,1)*60,1)*60,1)&amp;"""E"</f>
        <v>105°46'9"E</v>
      </c>
      <c r="Q392" s="1" t="str">
        <f>O392 &amp; " " &amp; P392</f>
        <v>18°37'34.3"N 105°46'9"E</v>
      </c>
    </row>
    <row r="393" spans="1:17" ht="15.75" customHeight="1" x14ac:dyDescent="0.2">
      <c r="A393" s="1">
        <v>457</v>
      </c>
      <c r="B393" s="1" t="s">
        <v>1666</v>
      </c>
      <c r="C393" s="1" t="s">
        <v>15</v>
      </c>
      <c r="D393" s="1" t="s">
        <v>16</v>
      </c>
      <c r="E393" s="1" t="s">
        <v>1648</v>
      </c>
      <c r="F393" s="1" t="s">
        <v>1649</v>
      </c>
      <c r="G393" s="1" t="s">
        <v>1667</v>
      </c>
      <c r="H393" s="1" t="s">
        <v>1668</v>
      </c>
      <c r="I393" s="1" t="s">
        <v>21</v>
      </c>
      <c r="J393" s="1" t="s">
        <v>22</v>
      </c>
      <c r="K393" s="2">
        <v>18.666306980000002</v>
      </c>
      <c r="L393" s="2">
        <v>105.62284357999999</v>
      </c>
      <c r="M393" s="1" t="s">
        <v>1667</v>
      </c>
      <c r="N393" s="1" t="s">
        <v>1649</v>
      </c>
      <c r="O393" s="1" t="str">
        <f>INT(K393)&amp;"°"&amp;INT(MOD(K393,1)*60)&amp;"'"&amp;
ROUND(MOD(MOD(K393,1)*60,1)*60,1)&amp;"""N"</f>
        <v>18°39'58.7"N</v>
      </c>
      <c r="P393" s="1" t="str">
        <f>INT(L393)&amp;"°"&amp;INT(MOD(L393,1)*60)&amp;"'"&amp;
ROUND(MOD(MOD(L393,1)*60,1)*60,1)&amp;"""E"</f>
        <v>105°37'22.2"E</v>
      </c>
      <c r="Q393" s="1" t="str">
        <f>O393 &amp; " " &amp; P393</f>
        <v>18°39'58.7"N 105°37'22.2"E</v>
      </c>
    </row>
    <row r="394" spans="1:17" ht="15.75" customHeight="1" x14ac:dyDescent="0.2">
      <c r="A394" s="1">
        <v>459</v>
      </c>
      <c r="B394" s="1" t="s">
        <v>1671</v>
      </c>
      <c r="C394" s="1" t="s">
        <v>15</v>
      </c>
      <c r="D394" s="1" t="s">
        <v>16</v>
      </c>
      <c r="E394" s="1" t="s">
        <v>1648</v>
      </c>
      <c r="F394" s="1" t="s">
        <v>1649</v>
      </c>
      <c r="G394" s="1" t="s">
        <v>1672</v>
      </c>
      <c r="H394" s="1" t="s">
        <v>1673</v>
      </c>
      <c r="I394" s="1" t="s">
        <v>21</v>
      </c>
      <c r="J394" s="1" t="s">
        <v>22</v>
      </c>
      <c r="K394" s="2">
        <v>18.680035610000001</v>
      </c>
      <c r="L394" s="2">
        <v>105.52136016</v>
      </c>
      <c r="M394" s="1" t="s">
        <v>1674</v>
      </c>
      <c r="N394" s="1" t="s">
        <v>1649</v>
      </c>
      <c r="O394" s="1" t="str">
        <f>INT(K394)&amp;"°"&amp;INT(MOD(K394,1)*60)&amp;"'"&amp;
ROUND(MOD(MOD(K394,1)*60,1)*60,1)&amp;"""N"</f>
        <v>18°40'48.1"N</v>
      </c>
      <c r="P394" s="1" t="str">
        <f>INT(L394)&amp;"°"&amp;INT(MOD(L394,1)*60)&amp;"'"&amp;
ROUND(MOD(MOD(L394,1)*60,1)*60,1)&amp;"""E"</f>
        <v>105°31'16.9"E</v>
      </c>
      <c r="Q394" s="1" t="str">
        <f>O394 &amp; " " &amp; P394</f>
        <v>18°40'48.1"N 105°31'16.9"E</v>
      </c>
    </row>
    <row r="395" spans="1:17" ht="15.75" customHeight="1" x14ac:dyDescent="0.2">
      <c r="A395" s="1">
        <v>470</v>
      </c>
      <c r="B395" s="1" t="s">
        <v>1710</v>
      </c>
      <c r="C395" s="1" t="s">
        <v>15</v>
      </c>
      <c r="D395" s="1" t="s">
        <v>16</v>
      </c>
      <c r="E395" s="1" t="s">
        <v>1648</v>
      </c>
      <c r="F395" s="1" t="s">
        <v>1649</v>
      </c>
      <c r="G395" s="1" t="s">
        <v>1711</v>
      </c>
      <c r="H395" s="1" t="s">
        <v>1711</v>
      </c>
      <c r="I395" s="1" t="s">
        <v>27</v>
      </c>
      <c r="J395" s="1" t="s">
        <v>28</v>
      </c>
      <c r="K395" s="2">
        <v>18.69768801</v>
      </c>
      <c r="L395" s="2">
        <v>105.68653947</v>
      </c>
      <c r="M395" s="1" t="s">
        <v>1712</v>
      </c>
      <c r="N395" s="1" t="s">
        <v>1649</v>
      </c>
      <c r="O395" s="1" t="str">
        <f>INT(K395)&amp;"°"&amp;INT(MOD(K395,1)*60)&amp;"'"&amp;
ROUND(MOD(MOD(K395,1)*60,1)*60,1)&amp;"""N"</f>
        <v>18°41'51.7"N</v>
      </c>
      <c r="P395" s="1" t="str">
        <f>INT(L395)&amp;"°"&amp;INT(MOD(L395,1)*60)&amp;"'"&amp;
ROUND(MOD(MOD(L395,1)*60,1)*60,1)&amp;"""E"</f>
        <v>105°41'11.5"E</v>
      </c>
      <c r="Q395" s="1" t="str">
        <f>O395 &amp; " " &amp; P395</f>
        <v>18°41'51.7"N 105°41'11.5"E</v>
      </c>
    </row>
    <row r="396" spans="1:17" ht="15.75" customHeight="1" x14ac:dyDescent="0.2">
      <c r="A396" s="1">
        <v>468</v>
      </c>
      <c r="B396" s="1" t="s">
        <v>1702</v>
      </c>
      <c r="C396" s="1" t="s">
        <v>15</v>
      </c>
      <c r="D396" s="1" t="s">
        <v>16</v>
      </c>
      <c r="E396" s="1" t="s">
        <v>1648</v>
      </c>
      <c r="F396" s="1" t="s">
        <v>1649</v>
      </c>
      <c r="G396" s="1" t="s">
        <v>1703</v>
      </c>
      <c r="H396" s="1" t="s">
        <v>1704</v>
      </c>
      <c r="I396" s="1" t="s">
        <v>21</v>
      </c>
      <c r="J396" s="1" t="s">
        <v>22</v>
      </c>
      <c r="K396" s="2">
        <v>18.73953028</v>
      </c>
      <c r="L396" s="2">
        <v>105.23929174</v>
      </c>
      <c r="M396" s="1" t="s">
        <v>1705</v>
      </c>
      <c r="N396" s="1" t="s">
        <v>1649</v>
      </c>
      <c r="O396" s="1" t="str">
        <f>INT(K396)&amp;"°"&amp;INT(MOD(K396,1)*60)&amp;"'"&amp;
ROUND(MOD(MOD(K396,1)*60,1)*60,1)&amp;"""N"</f>
        <v>18°44'22.3"N</v>
      </c>
      <c r="P396" s="1" t="str">
        <f>INT(L396)&amp;"°"&amp;INT(MOD(L396,1)*60)&amp;"'"&amp;
ROUND(MOD(MOD(L396,1)*60,1)*60,1)&amp;"""E"</f>
        <v>105°14'21.5"E</v>
      </c>
      <c r="Q396" s="1" t="str">
        <f>O396 &amp; " " &amp; P396</f>
        <v>18°44'22.3"N 105°14'21.5"E</v>
      </c>
    </row>
    <row r="397" spans="1:17" ht="15.75" customHeight="1" x14ac:dyDescent="0.2">
      <c r="A397" s="1">
        <v>453</v>
      </c>
      <c r="B397" s="1" t="s">
        <v>1655</v>
      </c>
      <c r="C397" s="1" t="s">
        <v>15</v>
      </c>
      <c r="D397" s="1" t="s">
        <v>16</v>
      </c>
      <c r="E397" s="1" t="s">
        <v>1648</v>
      </c>
      <c r="F397" s="1" t="s">
        <v>1649</v>
      </c>
      <c r="G397" s="1" t="s">
        <v>1656</v>
      </c>
      <c r="H397" s="1" t="s">
        <v>1657</v>
      </c>
      <c r="I397" s="1" t="s">
        <v>53</v>
      </c>
      <c r="J397" s="1" t="s">
        <v>54</v>
      </c>
      <c r="K397" s="2">
        <v>18.788468779999999</v>
      </c>
      <c r="L397" s="2">
        <v>105.72682267</v>
      </c>
      <c r="M397" s="1" t="s">
        <v>1656</v>
      </c>
      <c r="N397" s="1" t="s">
        <v>1649</v>
      </c>
      <c r="O397" s="1" t="str">
        <f>INT(K397)&amp;"°"&amp;INT(MOD(K397,1)*60)&amp;"'"&amp;
ROUND(MOD(MOD(K397,1)*60,1)*60,1)&amp;"""N"</f>
        <v>18°47'18.5"N</v>
      </c>
      <c r="P397" s="1" t="str">
        <f>INT(L397)&amp;"°"&amp;INT(MOD(L397,1)*60)&amp;"'"&amp;
ROUND(MOD(MOD(L397,1)*60,1)*60,1)&amp;"""E"</f>
        <v>105°43'36.6"E</v>
      </c>
      <c r="Q397" s="1" t="str">
        <f>O397 &amp; " " &amp; P397</f>
        <v>18°47'18.5"N 105°43'36.6"E</v>
      </c>
    </row>
    <row r="398" spans="1:17" ht="15.75" customHeight="1" x14ac:dyDescent="0.2">
      <c r="A398" s="1">
        <v>460</v>
      </c>
      <c r="B398" s="1" t="s">
        <v>1675</v>
      </c>
      <c r="C398" s="1" t="s">
        <v>15</v>
      </c>
      <c r="D398" s="1" t="s">
        <v>16</v>
      </c>
      <c r="E398" s="1" t="s">
        <v>1648</v>
      </c>
      <c r="F398" s="1" t="s">
        <v>1649</v>
      </c>
      <c r="G398" s="1" t="s">
        <v>1676</v>
      </c>
      <c r="H398" s="1" t="s">
        <v>1677</v>
      </c>
      <c r="I398" s="1" t="s">
        <v>21</v>
      </c>
      <c r="J398" s="1" t="s">
        <v>22</v>
      </c>
      <c r="K398" s="2">
        <v>18.81127201</v>
      </c>
      <c r="L398" s="2">
        <v>105.60428073</v>
      </c>
      <c r="M398" s="1" t="s">
        <v>1678</v>
      </c>
      <c r="N398" s="1" t="s">
        <v>1649</v>
      </c>
      <c r="O398" s="1" t="str">
        <f>INT(K398)&amp;"°"&amp;INT(MOD(K398,1)*60)&amp;"'"&amp;
ROUND(MOD(MOD(K398,1)*60,1)*60,1)&amp;"""N"</f>
        <v>18°48'40.6"N</v>
      </c>
      <c r="P398" s="1" t="str">
        <f>INT(L398)&amp;"°"&amp;INT(MOD(L398,1)*60)&amp;"'"&amp;
ROUND(MOD(MOD(L398,1)*60,1)*60,1)&amp;"""E"</f>
        <v>105°36'15.4"E</v>
      </c>
      <c r="Q398" s="1" t="str">
        <f>O398 &amp; " " &amp; P398</f>
        <v>18°48'40.6"N 105°36'15.4"E</v>
      </c>
    </row>
    <row r="399" spans="1:17" ht="15.75" customHeight="1" x14ac:dyDescent="0.2">
      <c r="A399" s="1">
        <v>455</v>
      </c>
      <c r="B399" s="1" t="s">
        <v>1662</v>
      </c>
      <c r="C399" s="1" t="s">
        <v>15</v>
      </c>
      <c r="D399" s="1" t="s">
        <v>16</v>
      </c>
      <c r="E399" s="1" t="s">
        <v>1648</v>
      </c>
      <c r="F399" s="1" t="s">
        <v>1649</v>
      </c>
      <c r="G399" s="1" t="s">
        <v>1663</v>
      </c>
      <c r="H399" s="1" t="s">
        <v>1664</v>
      </c>
      <c r="I399" s="1" t="s">
        <v>21</v>
      </c>
      <c r="J399" s="1" t="s">
        <v>22</v>
      </c>
      <c r="K399" s="2">
        <v>18.89766483</v>
      </c>
      <c r="L399" s="2">
        <v>105.34433833</v>
      </c>
      <c r="M399" s="1" t="s">
        <v>1663</v>
      </c>
      <c r="N399" s="1" t="s">
        <v>1649</v>
      </c>
      <c r="O399" s="1" t="str">
        <f>INT(K399)&amp;"°"&amp;INT(MOD(K399,1)*60)&amp;"'"&amp;
ROUND(MOD(MOD(K399,1)*60,1)*60,1)&amp;"""N"</f>
        <v>18°53'51.6"N</v>
      </c>
      <c r="P399" s="1" t="str">
        <f>INT(L399)&amp;"°"&amp;INT(MOD(L399,1)*60)&amp;"'"&amp;
ROUND(MOD(MOD(L399,1)*60,1)*60,1)&amp;"""E"</f>
        <v>105°20'39.6"E</v>
      </c>
      <c r="Q399" s="1" t="str">
        <f>O399 &amp; " " &amp; P399</f>
        <v>18°53'51.6"N 105°20'39.6"E</v>
      </c>
    </row>
    <row r="400" spans="1:17" ht="15.75" customHeight="1" x14ac:dyDescent="0.2">
      <c r="A400" s="1">
        <v>451</v>
      </c>
      <c r="B400" s="1" t="s">
        <v>1647</v>
      </c>
      <c r="C400" s="1" t="s">
        <v>15</v>
      </c>
      <c r="D400" s="1" t="s">
        <v>16</v>
      </c>
      <c r="E400" s="1" t="s">
        <v>1648</v>
      </c>
      <c r="F400" s="1" t="s">
        <v>1649</v>
      </c>
      <c r="G400" s="1" t="s">
        <v>1650</v>
      </c>
      <c r="H400" s="1" t="s">
        <v>1651</v>
      </c>
      <c r="I400" s="1" t="s">
        <v>21</v>
      </c>
      <c r="J400" s="1" t="s">
        <v>22</v>
      </c>
      <c r="K400" s="2">
        <v>18.95007545</v>
      </c>
      <c r="L400" s="2">
        <v>105.05782709</v>
      </c>
      <c r="M400" s="1" t="s">
        <v>1131</v>
      </c>
      <c r="N400" s="1" t="s">
        <v>1649</v>
      </c>
      <c r="O400" s="1" t="str">
        <f>INT(K400)&amp;"°"&amp;INT(MOD(K400,1)*60)&amp;"'"&amp;
ROUND(MOD(MOD(K400,1)*60,1)*60,1)&amp;"""N"</f>
        <v>18°57'0.3"N</v>
      </c>
      <c r="P400" s="1" t="str">
        <f>INT(L400)&amp;"°"&amp;INT(MOD(L400,1)*60)&amp;"'"&amp;
ROUND(MOD(MOD(L400,1)*60,1)*60,1)&amp;"""E"</f>
        <v>105°3'28.2"E</v>
      </c>
      <c r="Q400" s="1" t="str">
        <f>O400 &amp; " " &amp; P400</f>
        <v>18°57'0.3"N 105°3'28.2"E</v>
      </c>
    </row>
    <row r="401" spans="1:17" ht="15.75" customHeight="1" x14ac:dyDescent="0.2">
      <c r="A401" s="1">
        <v>454</v>
      </c>
      <c r="B401" s="1" t="s">
        <v>1658</v>
      </c>
      <c r="C401" s="1" t="s">
        <v>15</v>
      </c>
      <c r="D401" s="1" t="s">
        <v>16</v>
      </c>
      <c r="E401" s="1" t="s">
        <v>1648</v>
      </c>
      <c r="F401" s="1" t="s">
        <v>1649</v>
      </c>
      <c r="G401" s="1" t="s">
        <v>1659</v>
      </c>
      <c r="H401" s="1" t="s">
        <v>1660</v>
      </c>
      <c r="I401" s="1" t="s">
        <v>21</v>
      </c>
      <c r="J401" s="1" t="s">
        <v>22</v>
      </c>
      <c r="K401" s="2">
        <v>19.00165733</v>
      </c>
      <c r="L401" s="2">
        <v>105.57562043999999</v>
      </c>
      <c r="M401" s="1" t="s">
        <v>1661</v>
      </c>
      <c r="N401" s="1" t="s">
        <v>1649</v>
      </c>
      <c r="O401" s="1" t="str">
        <f>INT(K401)&amp;"°"&amp;INT(MOD(K401,1)*60)&amp;"'"&amp;
ROUND(MOD(MOD(K401,1)*60,1)*60,1)&amp;"""N"</f>
        <v>19°0'6"N</v>
      </c>
      <c r="P401" s="1" t="str">
        <f>INT(L401)&amp;"°"&amp;INT(MOD(L401,1)*60)&amp;"'"&amp;
ROUND(MOD(MOD(L401,1)*60,1)*60,1)&amp;"""E"</f>
        <v>105°34'32.2"E</v>
      </c>
      <c r="Q401" s="1" t="str">
        <f>O401 &amp; " " &amp; P401</f>
        <v>19°0'6"N 105°34'32.2"E</v>
      </c>
    </row>
    <row r="402" spans="1:17" ht="15.75" customHeight="1" x14ac:dyDescent="0.2">
      <c r="A402" s="1">
        <v>471</v>
      </c>
      <c r="B402" s="1" t="s">
        <v>1713</v>
      </c>
      <c r="C402" s="1" t="s">
        <v>15</v>
      </c>
      <c r="D402" s="1" t="s">
        <v>16</v>
      </c>
      <c r="E402" s="1" t="s">
        <v>1648</v>
      </c>
      <c r="F402" s="1" t="s">
        <v>1649</v>
      </c>
      <c r="G402" s="1" t="s">
        <v>1714</v>
      </c>
      <c r="H402" s="1" t="s">
        <v>1715</v>
      </c>
      <c r="I402" s="1" t="s">
        <v>21</v>
      </c>
      <c r="J402" s="1" t="s">
        <v>22</v>
      </c>
      <c r="K402" s="2">
        <v>19.02292684</v>
      </c>
      <c r="L402" s="2">
        <v>105.44160247000001</v>
      </c>
      <c r="M402" s="1" t="s">
        <v>1714</v>
      </c>
      <c r="N402" s="1" t="s">
        <v>1649</v>
      </c>
      <c r="O402" s="1" t="str">
        <f>INT(K402)&amp;"°"&amp;INT(MOD(K402,1)*60)&amp;"'"&amp;
ROUND(MOD(MOD(K402,1)*60,1)*60,1)&amp;"""N"</f>
        <v>19°1'22.5"N</v>
      </c>
      <c r="P402" s="1" t="str">
        <f>INT(L402)&amp;"°"&amp;INT(MOD(L402,1)*60)&amp;"'"&amp;
ROUND(MOD(MOD(L402,1)*60,1)*60,1)&amp;"""E"</f>
        <v>105°26'29.8"E</v>
      </c>
      <c r="Q402" s="1" t="str">
        <f>O402 &amp; " " &amp; P402</f>
        <v>19°1'22.5"N 105°26'29.8"E</v>
      </c>
    </row>
    <row r="403" spans="1:17" ht="15.75" customHeight="1" x14ac:dyDescent="0.2">
      <c r="A403" s="1">
        <v>452</v>
      </c>
      <c r="B403" s="1" t="s">
        <v>1652</v>
      </c>
      <c r="C403" s="1" t="s">
        <v>15</v>
      </c>
      <c r="D403" s="1" t="s">
        <v>16</v>
      </c>
      <c r="E403" s="1" t="s">
        <v>1648</v>
      </c>
      <c r="F403" s="1" t="s">
        <v>1649</v>
      </c>
      <c r="G403" s="1" t="s">
        <v>1653</v>
      </c>
      <c r="H403" s="1" t="s">
        <v>1654</v>
      </c>
      <c r="I403" s="1" t="s">
        <v>21</v>
      </c>
      <c r="J403" s="1" t="s">
        <v>22</v>
      </c>
      <c r="K403" s="2">
        <v>19.023710640000001</v>
      </c>
      <c r="L403" s="2">
        <v>104.81876604</v>
      </c>
      <c r="M403" s="1" t="s">
        <v>1653</v>
      </c>
      <c r="N403" s="1" t="s">
        <v>1649</v>
      </c>
      <c r="O403" s="1" t="str">
        <f>INT(K403)&amp;"°"&amp;INT(MOD(K403,1)*60)&amp;"'"&amp;
ROUND(MOD(MOD(K403,1)*60,1)*60,1)&amp;"""N"</f>
        <v>19°1'25.4"N</v>
      </c>
      <c r="P403" s="1" t="str">
        <f>INT(L403)&amp;"°"&amp;INT(MOD(L403,1)*60)&amp;"'"&amp;
ROUND(MOD(MOD(L403,1)*60,1)*60,1)&amp;"""E"</f>
        <v>104°49'7.6"E</v>
      </c>
      <c r="Q403" s="1" t="str">
        <f>O403 &amp; " " &amp; P403</f>
        <v>19°1'25.4"N 104°49'7.6"E</v>
      </c>
    </row>
    <row r="404" spans="1:17" ht="15.75" customHeight="1" x14ac:dyDescent="0.2">
      <c r="A404" s="1">
        <v>466</v>
      </c>
      <c r="B404" s="1" t="s">
        <v>1697</v>
      </c>
      <c r="C404" s="1" t="s">
        <v>15</v>
      </c>
      <c r="D404" s="1" t="s">
        <v>16</v>
      </c>
      <c r="E404" s="1" t="s">
        <v>1648</v>
      </c>
      <c r="F404" s="1" t="s">
        <v>1649</v>
      </c>
      <c r="G404" s="1" t="s">
        <v>1698</v>
      </c>
      <c r="H404" s="1" t="s">
        <v>1699</v>
      </c>
      <c r="I404" s="1" t="s">
        <v>21</v>
      </c>
      <c r="J404" s="1" t="s">
        <v>22</v>
      </c>
      <c r="K404" s="2">
        <v>19.11155875</v>
      </c>
      <c r="L404" s="2">
        <v>105.21796753</v>
      </c>
      <c r="M404" s="1" t="s">
        <v>55</v>
      </c>
      <c r="N404" s="1" t="s">
        <v>1649</v>
      </c>
      <c r="O404" s="1" t="str">
        <f>INT(K404)&amp;"°"&amp;INT(MOD(K404,1)*60)&amp;"'"&amp;
ROUND(MOD(MOD(K404,1)*60,1)*60,1)&amp;"""N"</f>
        <v>19°6'41.6"N</v>
      </c>
      <c r="P404" s="1" t="str">
        <f>INT(L404)&amp;"°"&amp;INT(MOD(L404,1)*60)&amp;"'"&amp;
ROUND(MOD(MOD(L404,1)*60,1)*60,1)&amp;"""E"</f>
        <v>105°13'4.7"E</v>
      </c>
      <c r="Q404" s="1" t="str">
        <f>O404 &amp; " " &amp; P404</f>
        <v>19°6'41.6"N 105°13'4.7"E</v>
      </c>
    </row>
    <row r="405" spans="1:17" ht="15.75" customHeight="1" x14ac:dyDescent="0.2">
      <c r="A405" s="1">
        <v>465</v>
      </c>
      <c r="B405" s="1" t="s">
        <v>1693</v>
      </c>
      <c r="C405" s="1" t="s">
        <v>15</v>
      </c>
      <c r="D405" s="1" t="s">
        <v>16</v>
      </c>
      <c r="E405" s="1" t="s">
        <v>1648</v>
      </c>
      <c r="F405" s="1" t="s">
        <v>1649</v>
      </c>
      <c r="G405" s="1" t="s">
        <v>1694</v>
      </c>
      <c r="H405" s="1" t="s">
        <v>1695</v>
      </c>
      <c r="I405" s="1" t="s">
        <v>21</v>
      </c>
      <c r="J405" s="1" t="s">
        <v>22</v>
      </c>
      <c r="K405" s="2">
        <v>19.20848354</v>
      </c>
      <c r="L405" s="2">
        <v>105.60439407</v>
      </c>
      <c r="M405" s="1" t="s">
        <v>1696</v>
      </c>
      <c r="N405" s="1" t="s">
        <v>1649</v>
      </c>
      <c r="O405" s="1" t="str">
        <f>INT(K405)&amp;"°"&amp;INT(MOD(K405,1)*60)&amp;"'"&amp;
ROUND(MOD(MOD(K405,1)*60,1)*60,1)&amp;"""N"</f>
        <v>19°12'30.5"N</v>
      </c>
      <c r="P405" s="1" t="str">
        <f>INT(L405)&amp;"°"&amp;INT(MOD(L405,1)*60)&amp;"'"&amp;
ROUND(MOD(MOD(L405,1)*60,1)*60,1)&amp;"""E"</f>
        <v>105°36'15.8"E</v>
      </c>
      <c r="Q405" s="1" t="str">
        <f>O405 &amp; " " &amp; P405</f>
        <v>19°12'30.5"N 105°36'15.8"E</v>
      </c>
    </row>
    <row r="406" spans="1:17" ht="15.75" customHeight="1" x14ac:dyDescent="0.2">
      <c r="A406" s="1">
        <v>456</v>
      </c>
      <c r="B406" s="1" t="s">
        <v>1665</v>
      </c>
      <c r="C406" s="1" t="s">
        <v>15</v>
      </c>
      <c r="D406" s="1" t="s">
        <v>16</v>
      </c>
      <c r="E406" s="1" t="s">
        <v>1648</v>
      </c>
      <c r="F406" s="1" t="s">
        <v>1649</v>
      </c>
      <c r="G406" s="1" t="s">
        <v>910</v>
      </c>
      <c r="H406" s="1" t="s">
        <v>911</v>
      </c>
      <c r="I406" s="1" t="s">
        <v>53</v>
      </c>
      <c r="J406" s="1" t="s">
        <v>54</v>
      </c>
      <c r="K406" s="2">
        <v>19.265573320000001</v>
      </c>
      <c r="L406" s="2">
        <v>105.70594278</v>
      </c>
      <c r="M406" s="1" t="s">
        <v>910</v>
      </c>
      <c r="N406" s="1" t="s">
        <v>1649</v>
      </c>
      <c r="O406" s="1" t="str">
        <f>INT(K406)&amp;"°"&amp;INT(MOD(K406,1)*60)&amp;"'"&amp;
ROUND(MOD(MOD(K406,1)*60,1)*60,1)&amp;"""N"</f>
        <v>19°15'56.1"N</v>
      </c>
      <c r="P406" s="1" t="str">
        <f>INT(L406)&amp;"°"&amp;INT(MOD(L406,1)*60)&amp;"'"&amp;
ROUND(MOD(MOD(L406,1)*60,1)*60,1)&amp;"""E"</f>
        <v>105°42'21.4"E</v>
      </c>
      <c r="Q406" s="1" t="str">
        <f>O406 &amp; " " &amp; P406</f>
        <v>19°15'56.1"N 105°42'21.4"E</v>
      </c>
    </row>
    <row r="407" spans="1:17" ht="15.75" customHeight="1" x14ac:dyDescent="0.2">
      <c r="A407" s="1">
        <v>467</v>
      </c>
      <c r="B407" s="1" t="s">
        <v>1700</v>
      </c>
      <c r="C407" s="1" t="s">
        <v>15</v>
      </c>
      <c r="D407" s="1" t="s">
        <v>16</v>
      </c>
      <c r="E407" s="1" t="s">
        <v>1648</v>
      </c>
      <c r="F407" s="1" t="s">
        <v>1649</v>
      </c>
      <c r="G407" s="1" t="s">
        <v>1682</v>
      </c>
      <c r="H407" s="1" t="s">
        <v>1701</v>
      </c>
      <c r="I407" s="1" t="s">
        <v>53</v>
      </c>
      <c r="J407" s="1" t="s">
        <v>54</v>
      </c>
      <c r="K407" s="2">
        <v>19.289742140000001</v>
      </c>
      <c r="L407" s="2">
        <v>105.44572466</v>
      </c>
      <c r="M407" s="1" t="s">
        <v>1682</v>
      </c>
      <c r="N407" s="1" t="s">
        <v>1649</v>
      </c>
      <c r="O407" s="1" t="str">
        <f>INT(K407)&amp;"°"&amp;INT(MOD(K407,1)*60)&amp;"'"&amp;
ROUND(MOD(MOD(K407,1)*60,1)*60,1)&amp;"""N"</f>
        <v>19°17'23.1"N</v>
      </c>
      <c r="P407" s="1" t="str">
        <f>INT(L407)&amp;"°"&amp;INT(MOD(L407,1)*60)&amp;"'"&amp;
ROUND(MOD(MOD(L407,1)*60,1)*60,1)&amp;"""E"</f>
        <v>105°26'44.6"E</v>
      </c>
      <c r="Q407" s="1" t="str">
        <f>O407 &amp; " " &amp; P407</f>
        <v>19°17'23.1"N 105°26'44.6"E</v>
      </c>
    </row>
    <row r="408" spans="1:17" ht="15.75" customHeight="1" x14ac:dyDescent="0.2">
      <c r="A408" s="1">
        <v>469</v>
      </c>
      <c r="B408" s="1" t="s">
        <v>1706</v>
      </c>
      <c r="C408" s="1" t="s">
        <v>15</v>
      </c>
      <c r="D408" s="1" t="s">
        <v>16</v>
      </c>
      <c r="E408" s="1" t="s">
        <v>1648</v>
      </c>
      <c r="F408" s="1" t="s">
        <v>1649</v>
      </c>
      <c r="G408" s="1" t="s">
        <v>1707</v>
      </c>
      <c r="H408" s="1" t="s">
        <v>1708</v>
      </c>
      <c r="I408" s="1" t="s">
        <v>21</v>
      </c>
      <c r="J408" s="1" t="s">
        <v>22</v>
      </c>
      <c r="K408" s="2">
        <v>19.303795019999999</v>
      </c>
      <c r="L408" s="2">
        <v>104.56731564</v>
      </c>
      <c r="M408" s="1" t="s">
        <v>1709</v>
      </c>
      <c r="N408" s="1" t="s">
        <v>1649</v>
      </c>
      <c r="O408" s="1" t="str">
        <f>INT(K408)&amp;"°"&amp;INT(MOD(K408,1)*60)&amp;"'"&amp;
ROUND(MOD(MOD(K408,1)*60,1)*60,1)&amp;"""N"</f>
        <v>19°18'13.7"N</v>
      </c>
      <c r="P408" s="1" t="str">
        <f>INT(L408)&amp;"°"&amp;INT(MOD(L408,1)*60)&amp;"'"&amp;
ROUND(MOD(MOD(L408,1)*60,1)*60,1)&amp;"""E"</f>
        <v>104°34'2.3"E</v>
      </c>
      <c r="Q408" s="1" t="str">
        <f>O408 &amp; " " &amp; P408</f>
        <v>19°18'13.7"N 104°34'2.3"E</v>
      </c>
    </row>
    <row r="409" spans="1:17" ht="15.75" customHeight="1" x14ac:dyDescent="0.2">
      <c r="A409" s="1">
        <v>464</v>
      </c>
      <c r="B409" s="1" t="s">
        <v>1690</v>
      </c>
      <c r="C409" s="1" t="s">
        <v>15</v>
      </c>
      <c r="D409" s="1" t="s">
        <v>16</v>
      </c>
      <c r="E409" s="1" t="s">
        <v>1648</v>
      </c>
      <c r="F409" s="1" t="s">
        <v>1649</v>
      </c>
      <c r="G409" s="1" t="s">
        <v>1691</v>
      </c>
      <c r="H409" s="1" t="s">
        <v>1692</v>
      </c>
      <c r="I409" s="1" t="s">
        <v>21</v>
      </c>
      <c r="J409" s="1" t="s">
        <v>22</v>
      </c>
      <c r="K409" s="2">
        <v>19.322431869999999</v>
      </c>
      <c r="L409" s="2">
        <v>105.15595161</v>
      </c>
      <c r="M409" s="1" t="s">
        <v>1691</v>
      </c>
      <c r="N409" s="1" t="s">
        <v>1649</v>
      </c>
      <c r="O409" s="1" t="str">
        <f>INT(K409)&amp;"°"&amp;INT(MOD(K409,1)*60)&amp;"'"&amp;
ROUND(MOD(MOD(K409,1)*60,1)*60,1)&amp;"""N"</f>
        <v>19°19'20.8"N</v>
      </c>
      <c r="P409" s="1" t="str">
        <f>INT(L409)&amp;"°"&amp;INT(MOD(L409,1)*60)&amp;"'"&amp;
ROUND(MOD(MOD(L409,1)*60,1)*60,1)&amp;"""E"</f>
        <v>105°9'21.4"E</v>
      </c>
      <c r="Q409" s="1" t="str">
        <f>O409 &amp; " " &amp; P409</f>
        <v>19°19'20.8"N 105°9'21.4"E</v>
      </c>
    </row>
    <row r="410" spans="1:17" ht="15.75" customHeight="1" x14ac:dyDescent="0.2">
      <c r="A410" s="1">
        <v>461</v>
      </c>
      <c r="B410" s="1" t="s">
        <v>1679</v>
      </c>
      <c r="C410" s="1" t="s">
        <v>15</v>
      </c>
      <c r="D410" s="1" t="s">
        <v>16</v>
      </c>
      <c r="E410" s="1" t="s">
        <v>1648</v>
      </c>
      <c r="F410" s="1" t="s">
        <v>1649</v>
      </c>
      <c r="G410" s="1" t="s">
        <v>1680</v>
      </c>
      <c r="H410" s="1" t="s">
        <v>1681</v>
      </c>
      <c r="I410" s="1" t="s">
        <v>21</v>
      </c>
      <c r="J410" s="1" t="s">
        <v>22</v>
      </c>
      <c r="K410" s="2">
        <v>19.3570943</v>
      </c>
      <c r="L410" s="2">
        <v>105.42506594</v>
      </c>
      <c r="M410" s="1" t="s">
        <v>1682</v>
      </c>
      <c r="N410" s="1" t="s">
        <v>1649</v>
      </c>
      <c r="O410" s="1" t="str">
        <f>INT(K410)&amp;"°"&amp;INT(MOD(K410,1)*60)&amp;"'"&amp;
ROUND(MOD(MOD(K410,1)*60,1)*60,1)&amp;"""N"</f>
        <v>19°21'25.5"N</v>
      </c>
      <c r="P410" s="1" t="str">
        <f>INT(L410)&amp;"°"&amp;INT(MOD(L410,1)*60)&amp;"'"&amp;
ROUND(MOD(MOD(L410,1)*60,1)*60,1)&amp;"""E"</f>
        <v>105°25'30.2"E</v>
      </c>
      <c r="Q410" s="1" t="str">
        <f>O410 &amp; " " &amp; P410</f>
        <v>19°21'25.5"N 105°25'30.2"E</v>
      </c>
    </row>
    <row r="411" spans="1:17" ht="15.75" customHeight="1" x14ac:dyDescent="0.2">
      <c r="A411" s="1">
        <v>458</v>
      </c>
      <c r="B411" s="1" t="s">
        <v>1669</v>
      </c>
      <c r="C411" s="1" t="s">
        <v>15</v>
      </c>
      <c r="D411" s="1" t="s">
        <v>16</v>
      </c>
      <c r="E411" s="1" t="s">
        <v>1648</v>
      </c>
      <c r="F411" s="1" t="s">
        <v>1649</v>
      </c>
      <c r="G411" s="1" t="s">
        <v>1236</v>
      </c>
      <c r="H411" s="1" t="s">
        <v>1237</v>
      </c>
      <c r="I411" s="1" t="s">
        <v>21</v>
      </c>
      <c r="J411" s="1" t="s">
        <v>22</v>
      </c>
      <c r="K411" s="2">
        <v>19.432225150000001</v>
      </c>
      <c r="L411" s="2">
        <v>104.21137487</v>
      </c>
      <c r="M411" s="1" t="s">
        <v>1670</v>
      </c>
      <c r="N411" s="1" t="s">
        <v>1649</v>
      </c>
      <c r="O411" s="1" t="str">
        <f>INT(K411)&amp;"°"&amp;INT(MOD(K411,1)*60)&amp;"'"&amp;
ROUND(MOD(MOD(K411,1)*60,1)*60,1)&amp;"""N"</f>
        <v>19°25'56"N</v>
      </c>
      <c r="P411" s="1" t="str">
        <f>INT(L411)&amp;"°"&amp;INT(MOD(L411,1)*60)&amp;"'"&amp;
ROUND(MOD(MOD(L411,1)*60,1)*60,1)&amp;"""E"</f>
        <v>104°12'40.9"E</v>
      </c>
      <c r="Q411" s="1" t="str">
        <f>O411 &amp; " " &amp; P411</f>
        <v>19°25'56"N 104°12'40.9"E</v>
      </c>
    </row>
    <row r="412" spans="1:17" ht="15.75" customHeight="1" x14ac:dyDescent="0.2">
      <c r="A412" s="1">
        <v>645</v>
      </c>
      <c r="B412" s="1" t="s">
        <v>2330</v>
      </c>
      <c r="C412" s="1" t="s">
        <v>15</v>
      </c>
      <c r="D412" s="1" t="s">
        <v>16</v>
      </c>
      <c r="E412" s="1" t="s">
        <v>2248</v>
      </c>
      <c r="F412" s="1" t="s">
        <v>2249</v>
      </c>
      <c r="G412" s="1" t="s">
        <v>2331</v>
      </c>
      <c r="H412" s="1" t="s">
        <v>2332</v>
      </c>
      <c r="I412" s="1" t="s">
        <v>21</v>
      </c>
      <c r="J412" s="1" t="s">
        <v>22</v>
      </c>
      <c r="K412" s="2">
        <v>19.43593478</v>
      </c>
      <c r="L412" s="2">
        <v>105.74010232000001</v>
      </c>
      <c r="M412" s="1" t="s">
        <v>2333</v>
      </c>
      <c r="N412" s="1" t="s">
        <v>2249</v>
      </c>
      <c r="O412" s="1" t="str">
        <f>INT(K412)&amp;"°"&amp;INT(MOD(K412,1)*60)&amp;"'"&amp;
ROUND(MOD(MOD(K412,1)*60,1)*60,1)&amp;"""N"</f>
        <v>19°26'9.4"N</v>
      </c>
      <c r="P412" s="1" t="str">
        <f>INT(L412)&amp;"°"&amp;INT(MOD(L412,1)*60)&amp;"'"&amp;
ROUND(MOD(MOD(L412,1)*60,1)*60,1)&amp;"""E"</f>
        <v>105°44'24.4"E</v>
      </c>
      <c r="Q412" s="1" t="str">
        <f>O412 &amp; " " &amp; P412</f>
        <v>19°26'9.4"N 105°44'24.4"E</v>
      </c>
    </row>
    <row r="413" spans="1:17" ht="15.75" customHeight="1" x14ac:dyDescent="0.2">
      <c r="A413" s="1">
        <v>463</v>
      </c>
      <c r="B413" s="1" t="s">
        <v>1687</v>
      </c>
      <c r="C413" s="1" t="s">
        <v>15</v>
      </c>
      <c r="D413" s="1" t="s">
        <v>16</v>
      </c>
      <c r="E413" s="1" t="s">
        <v>1648</v>
      </c>
      <c r="F413" s="1" t="s">
        <v>1649</v>
      </c>
      <c r="G413" s="1" t="s">
        <v>1688</v>
      </c>
      <c r="H413" s="1" t="s">
        <v>1689</v>
      </c>
      <c r="I413" s="1" t="s">
        <v>21</v>
      </c>
      <c r="J413" s="1" t="s">
        <v>22</v>
      </c>
      <c r="K413" s="2">
        <v>19.54025708</v>
      </c>
      <c r="L413" s="2">
        <v>105.08188351</v>
      </c>
      <c r="M413" s="1" t="s">
        <v>1688</v>
      </c>
      <c r="N413" s="1" t="s">
        <v>1649</v>
      </c>
      <c r="O413" s="1" t="str">
        <f>INT(K413)&amp;"°"&amp;INT(MOD(K413,1)*60)&amp;"'"&amp;
ROUND(MOD(MOD(K413,1)*60,1)*60,1)&amp;"""N"</f>
        <v>19°32'24.9"N</v>
      </c>
      <c r="P413" s="1" t="str">
        <f>INT(L413)&amp;"°"&amp;INT(MOD(L413,1)*60)&amp;"'"&amp;
ROUND(MOD(MOD(L413,1)*60,1)*60,1)&amp;"""E"</f>
        <v>105°4'54.8"E</v>
      </c>
      <c r="Q413" s="1" t="str">
        <f>O413 &amp; " " &amp; P413</f>
        <v>19°32'24.9"N 105°4'54.8"E</v>
      </c>
    </row>
    <row r="414" spans="1:17" ht="15.75" customHeight="1" x14ac:dyDescent="0.2">
      <c r="A414" s="1">
        <v>633</v>
      </c>
      <c r="B414" s="1" t="s">
        <v>2289</v>
      </c>
      <c r="C414" s="1" t="s">
        <v>15</v>
      </c>
      <c r="D414" s="1" t="s">
        <v>16</v>
      </c>
      <c r="E414" s="1" t="s">
        <v>2248</v>
      </c>
      <c r="F414" s="1" t="s">
        <v>2249</v>
      </c>
      <c r="G414" s="1" t="s">
        <v>2290</v>
      </c>
      <c r="H414" s="1" t="s">
        <v>2291</v>
      </c>
      <c r="I414" s="1" t="s">
        <v>21</v>
      </c>
      <c r="J414" s="1" t="s">
        <v>22</v>
      </c>
      <c r="K414" s="2">
        <v>19.585779760000001</v>
      </c>
      <c r="L414" s="2">
        <v>105.55902603</v>
      </c>
      <c r="M414" s="1" t="s">
        <v>2292</v>
      </c>
      <c r="N414" s="1" t="s">
        <v>2249</v>
      </c>
      <c r="O414" s="1" t="str">
        <f>INT(K414)&amp;"°"&amp;INT(MOD(K414,1)*60)&amp;"'"&amp;
ROUND(MOD(MOD(K414,1)*60,1)*60,1)&amp;"""N"</f>
        <v>19°35'8.8"N</v>
      </c>
      <c r="P414" s="1" t="str">
        <f>INT(L414)&amp;"°"&amp;INT(MOD(L414,1)*60)&amp;"'"&amp;
ROUND(MOD(MOD(L414,1)*60,1)*60,1)&amp;"""E"</f>
        <v>105°33'32.5"E</v>
      </c>
      <c r="Q414" s="1" t="str">
        <f>O414 &amp; " " &amp; P414</f>
        <v>19°35'8.8"N 105°33'32.5"E</v>
      </c>
    </row>
    <row r="415" spans="1:17" ht="15.75" customHeight="1" x14ac:dyDescent="0.2">
      <c r="A415" s="1">
        <v>634</v>
      </c>
      <c r="B415" s="1" t="s">
        <v>2293</v>
      </c>
      <c r="C415" s="1" t="s">
        <v>15</v>
      </c>
      <c r="D415" s="1" t="s">
        <v>16</v>
      </c>
      <c r="E415" s="1" t="s">
        <v>2248</v>
      </c>
      <c r="F415" s="1" t="s">
        <v>2249</v>
      </c>
      <c r="G415" s="1" t="s">
        <v>2294</v>
      </c>
      <c r="H415" s="1" t="s">
        <v>2295</v>
      </c>
      <c r="I415" s="1" t="s">
        <v>21</v>
      </c>
      <c r="J415" s="1" t="s">
        <v>22</v>
      </c>
      <c r="K415" s="2">
        <v>19.61684108</v>
      </c>
      <c r="L415" s="2">
        <v>105.37113216</v>
      </c>
      <c r="M415" s="1" t="s">
        <v>2296</v>
      </c>
      <c r="N415" s="1" t="s">
        <v>2249</v>
      </c>
      <c r="O415" s="1" t="str">
        <f>INT(K415)&amp;"°"&amp;INT(MOD(K415,1)*60)&amp;"'"&amp;
ROUND(MOD(MOD(K415,1)*60,1)*60,1)&amp;"""N"</f>
        <v>19°37'0.6"N</v>
      </c>
      <c r="P415" s="1" t="str">
        <f>INT(L415)&amp;"°"&amp;INT(MOD(L415,1)*60)&amp;"'"&amp;
ROUND(MOD(MOD(L415,1)*60,1)*60,1)&amp;"""E"</f>
        <v>105°22'16.1"E</v>
      </c>
      <c r="Q415" s="1" t="str">
        <f>O415 &amp; " " &amp; P415</f>
        <v>19°37'0.6"N 105°22'16.1"E</v>
      </c>
    </row>
    <row r="416" spans="1:17" ht="15.75" customHeight="1" x14ac:dyDescent="0.2">
      <c r="A416" s="1">
        <v>635</v>
      </c>
      <c r="B416" s="1" t="s">
        <v>2297</v>
      </c>
      <c r="C416" s="1" t="s">
        <v>15</v>
      </c>
      <c r="D416" s="1" t="s">
        <v>16</v>
      </c>
      <c r="E416" s="1" t="s">
        <v>2248</v>
      </c>
      <c r="F416" s="1" t="s">
        <v>2249</v>
      </c>
      <c r="G416" s="1" t="s">
        <v>2298</v>
      </c>
      <c r="H416" s="1" t="s">
        <v>2299</v>
      </c>
      <c r="I416" s="1" t="s">
        <v>21</v>
      </c>
      <c r="J416" s="1" t="s">
        <v>22</v>
      </c>
      <c r="K416" s="2">
        <v>19.618227579999999</v>
      </c>
      <c r="L416" s="2">
        <v>105.67634089000001</v>
      </c>
      <c r="M416" s="1" t="s">
        <v>2298</v>
      </c>
      <c r="N416" s="1" t="s">
        <v>2249</v>
      </c>
      <c r="O416" s="1" t="str">
        <f>INT(K416)&amp;"°"&amp;INT(MOD(K416,1)*60)&amp;"'"&amp;
ROUND(MOD(MOD(K416,1)*60,1)*60,1)&amp;"""N"</f>
        <v>19°37'5.6"N</v>
      </c>
      <c r="P416" s="1" t="str">
        <f>INT(L416)&amp;"°"&amp;INT(MOD(L416,1)*60)&amp;"'"&amp;
ROUND(MOD(MOD(L416,1)*60,1)*60,1)&amp;"""E"</f>
        <v>105°40'34.8"E</v>
      </c>
      <c r="Q416" s="1" t="str">
        <f>O416 &amp; " " &amp; P416</f>
        <v>19°37'5.6"N 105°40'34.8"E</v>
      </c>
    </row>
    <row r="417" spans="1:17" ht="15.75" customHeight="1" x14ac:dyDescent="0.2">
      <c r="A417" s="1">
        <v>638</v>
      </c>
      <c r="B417" s="1" t="s">
        <v>2308</v>
      </c>
      <c r="C417" s="1" t="s">
        <v>15</v>
      </c>
      <c r="D417" s="1" t="s">
        <v>16</v>
      </c>
      <c r="E417" s="1" t="s">
        <v>2248</v>
      </c>
      <c r="F417" s="1" t="s">
        <v>2249</v>
      </c>
      <c r="G417" s="1" t="s">
        <v>2309</v>
      </c>
      <c r="H417" s="1" t="s">
        <v>2310</v>
      </c>
      <c r="I417" s="1" t="s">
        <v>21</v>
      </c>
      <c r="J417" s="1" t="s">
        <v>22</v>
      </c>
      <c r="K417" s="2">
        <v>19.679800449999998</v>
      </c>
      <c r="L417" s="2">
        <v>105.78155885</v>
      </c>
      <c r="M417" s="1" t="s">
        <v>1851</v>
      </c>
      <c r="N417" s="1" t="s">
        <v>2249</v>
      </c>
      <c r="O417" s="1" t="str">
        <f>INT(K417)&amp;"°"&amp;INT(MOD(K417,1)*60)&amp;"'"&amp;
ROUND(MOD(MOD(K417,1)*60,1)*60,1)&amp;"""N"</f>
        <v>19°40'47.3"N</v>
      </c>
      <c r="P417" s="1" t="str">
        <f>INT(L417)&amp;"°"&amp;INT(MOD(L417,1)*60)&amp;"'"&amp;
ROUND(MOD(MOD(L417,1)*60,1)*60,1)&amp;"""E"</f>
        <v>105°46'53.6"E</v>
      </c>
      <c r="Q417" s="1" t="str">
        <f>O417 &amp; " " &amp; P417</f>
        <v>19°40'47.3"N 105°46'53.6"E</v>
      </c>
    </row>
    <row r="418" spans="1:17" ht="15.75" customHeight="1" x14ac:dyDescent="0.2">
      <c r="A418" s="1">
        <v>462</v>
      </c>
      <c r="B418" s="1" t="s">
        <v>1683</v>
      </c>
      <c r="C418" s="1" t="s">
        <v>15</v>
      </c>
      <c r="D418" s="1" t="s">
        <v>16</v>
      </c>
      <c r="E418" s="1" t="s">
        <v>1648</v>
      </c>
      <c r="F418" s="1" t="s">
        <v>1649</v>
      </c>
      <c r="G418" s="1" t="s">
        <v>1684</v>
      </c>
      <c r="H418" s="1" t="s">
        <v>1685</v>
      </c>
      <c r="I418" s="1" t="s">
        <v>21</v>
      </c>
      <c r="J418" s="1" t="s">
        <v>22</v>
      </c>
      <c r="K418" s="2">
        <v>19.70573169</v>
      </c>
      <c r="L418" s="2">
        <v>104.89483779</v>
      </c>
      <c r="M418" s="1" t="s">
        <v>1686</v>
      </c>
      <c r="N418" s="1" t="s">
        <v>1649</v>
      </c>
      <c r="O418" s="1" t="str">
        <f>INT(K418)&amp;"°"&amp;INT(MOD(K418,1)*60)&amp;"'"&amp;
ROUND(MOD(MOD(K418,1)*60,1)*60,1)&amp;"""N"</f>
        <v>19°42'20.6"N</v>
      </c>
      <c r="P418" s="1" t="str">
        <f>INT(L418)&amp;"°"&amp;INT(MOD(L418,1)*60)&amp;"'"&amp;
ROUND(MOD(MOD(L418,1)*60,1)*60,1)&amp;"""E"</f>
        <v>104°53'41.4"E</v>
      </c>
      <c r="Q418" s="1" t="str">
        <f>O418 &amp; " " &amp; P418</f>
        <v>19°42'20.6"N 104°53'41.4"E</v>
      </c>
    </row>
    <row r="419" spans="1:17" ht="15.75" customHeight="1" x14ac:dyDescent="0.2">
      <c r="A419" s="1">
        <v>639</v>
      </c>
      <c r="B419" s="1" t="s">
        <v>2311</v>
      </c>
      <c r="C419" s="1" t="s">
        <v>15</v>
      </c>
      <c r="D419" s="1" t="s">
        <v>16</v>
      </c>
      <c r="E419" s="1" t="s">
        <v>2248</v>
      </c>
      <c r="F419" s="1" t="s">
        <v>2249</v>
      </c>
      <c r="G419" s="1" t="s">
        <v>2312</v>
      </c>
      <c r="H419" s="1" t="s">
        <v>2313</v>
      </c>
      <c r="I419" s="1" t="s">
        <v>27</v>
      </c>
      <c r="J419" s="1" t="s">
        <v>28</v>
      </c>
      <c r="K419" s="2">
        <v>19.745167420000001</v>
      </c>
      <c r="L419" s="2">
        <v>105.87677073</v>
      </c>
      <c r="M419" s="1" t="s">
        <v>2312</v>
      </c>
      <c r="N419" s="1" t="s">
        <v>2249</v>
      </c>
      <c r="O419" s="1" t="str">
        <f>INT(K419)&amp;"°"&amp;INT(MOD(K419,1)*60)&amp;"'"&amp;
ROUND(MOD(MOD(K419,1)*60,1)*60,1)&amp;"""N"</f>
        <v>19°44'42.6"N</v>
      </c>
      <c r="P419" s="1" t="str">
        <f>INT(L419)&amp;"°"&amp;INT(MOD(L419,1)*60)&amp;"'"&amp;
ROUND(MOD(MOD(L419,1)*60,1)*60,1)&amp;"""E"</f>
        <v>105°52'36.4"E</v>
      </c>
      <c r="Q419" s="1" t="str">
        <f>O419 &amp; " " &amp; P419</f>
        <v>19°44'42.6"N 105°52'36.4"E</v>
      </c>
    </row>
    <row r="420" spans="1:17" ht="15.75" customHeight="1" x14ac:dyDescent="0.2">
      <c r="A420" s="1">
        <v>625</v>
      </c>
      <c r="B420" s="1" t="s">
        <v>2259</v>
      </c>
      <c r="C420" s="1" t="s">
        <v>15</v>
      </c>
      <c r="D420" s="1" t="s">
        <v>16</v>
      </c>
      <c r="E420" s="1" t="s">
        <v>2248</v>
      </c>
      <c r="F420" s="1" t="s">
        <v>2249</v>
      </c>
      <c r="G420" s="1" t="s">
        <v>2260</v>
      </c>
      <c r="H420" s="1" t="s">
        <v>2261</v>
      </c>
      <c r="I420" s="1" t="s">
        <v>21</v>
      </c>
      <c r="J420" s="1" t="s">
        <v>22</v>
      </c>
      <c r="K420" s="2">
        <v>19.799094329999999</v>
      </c>
      <c r="L420" s="2">
        <v>105.70461469</v>
      </c>
      <c r="M420" s="1" t="s">
        <v>2262</v>
      </c>
      <c r="N420" s="1" t="s">
        <v>2249</v>
      </c>
      <c r="O420" s="1" t="str">
        <f>INT(K420)&amp;"°"&amp;INT(MOD(K420,1)*60)&amp;"'"&amp;
ROUND(MOD(MOD(K420,1)*60,1)*60,1)&amp;"""N"</f>
        <v>19°47'56.7"N</v>
      </c>
      <c r="P420" s="1" t="str">
        <f>INT(L420)&amp;"°"&amp;INT(MOD(L420,1)*60)&amp;"'"&amp;
ROUND(MOD(MOD(L420,1)*60,1)*60,1)&amp;"""E"</f>
        <v>105°42'16.6"E</v>
      </c>
      <c r="Q420" s="1" t="str">
        <f>O420 &amp; " " &amp; P420</f>
        <v>19°47'56.7"N 105°42'16.6"E</v>
      </c>
    </row>
    <row r="421" spans="1:17" ht="15.75" customHeight="1" x14ac:dyDescent="0.2">
      <c r="A421" s="1">
        <v>641</v>
      </c>
      <c r="B421" s="1" t="s">
        <v>2318</v>
      </c>
      <c r="C421" s="1" t="s">
        <v>15</v>
      </c>
      <c r="D421" s="1" t="s">
        <v>16</v>
      </c>
      <c r="E421" s="1" t="s">
        <v>2248</v>
      </c>
      <c r="F421" s="1" t="s">
        <v>2249</v>
      </c>
      <c r="G421" s="1" t="s">
        <v>2249</v>
      </c>
      <c r="H421" s="1" t="s">
        <v>1601</v>
      </c>
      <c r="I421" s="1" t="s">
        <v>27</v>
      </c>
      <c r="J421" s="1" t="s">
        <v>28</v>
      </c>
      <c r="K421" s="2">
        <v>19.8064158</v>
      </c>
      <c r="L421" s="2">
        <v>105.78781958</v>
      </c>
      <c r="M421" s="1" t="s">
        <v>2319</v>
      </c>
      <c r="N421" s="1" t="s">
        <v>2249</v>
      </c>
      <c r="O421" s="1" t="str">
        <f>INT(K421)&amp;"°"&amp;INT(MOD(K421,1)*60)&amp;"'"&amp;
ROUND(MOD(MOD(K421,1)*60,1)*60,1)&amp;"""N"</f>
        <v>19°48'23.1"N</v>
      </c>
      <c r="P421" s="1" t="str">
        <f>INT(L421)&amp;"°"&amp;INT(MOD(L421,1)*60)&amp;"'"&amp;
ROUND(MOD(MOD(L421,1)*60,1)*60,1)&amp;"""E"</f>
        <v>105°47'16.2"E</v>
      </c>
      <c r="Q421" s="1" t="str">
        <f>O421 &amp; " " &amp; P421</f>
        <v>19°48'23.1"N 105°47'16.2"E</v>
      </c>
    </row>
    <row r="422" spans="1:17" ht="15.75" customHeight="1" x14ac:dyDescent="0.2">
      <c r="A422" s="1">
        <v>646</v>
      </c>
      <c r="B422" s="1" t="s">
        <v>2334</v>
      </c>
      <c r="C422" s="1" t="s">
        <v>15</v>
      </c>
      <c r="D422" s="1" t="s">
        <v>16</v>
      </c>
      <c r="E422" s="1" t="s">
        <v>2248</v>
      </c>
      <c r="F422" s="1" t="s">
        <v>2249</v>
      </c>
      <c r="G422" s="1" t="s">
        <v>2335</v>
      </c>
      <c r="H422" s="1" t="s">
        <v>2336</v>
      </c>
      <c r="I422" s="1" t="s">
        <v>21</v>
      </c>
      <c r="J422" s="1" t="s">
        <v>22</v>
      </c>
      <c r="K422" s="2">
        <v>19.809810429999999</v>
      </c>
      <c r="L422" s="2">
        <v>105.57188613</v>
      </c>
      <c r="M422" s="1" t="s">
        <v>2337</v>
      </c>
      <c r="N422" s="1" t="s">
        <v>2249</v>
      </c>
      <c r="O422" s="1" t="str">
        <f>INT(K422)&amp;"°"&amp;INT(MOD(K422,1)*60)&amp;"'"&amp;
ROUND(MOD(MOD(K422,1)*60,1)*60,1)&amp;"""N"</f>
        <v>19°48'35.3"N</v>
      </c>
      <c r="P422" s="1" t="str">
        <f>INT(L422)&amp;"°"&amp;INT(MOD(L422,1)*60)&amp;"'"&amp;
ROUND(MOD(MOD(L422,1)*60,1)*60,1)&amp;"""E"</f>
        <v>105°34'18.8"E</v>
      </c>
      <c r="Q422" s="1" t="str">
        <f>O422 &amp; " " &amp; P422</f>
        <v>19°48'35.3"N 105°34'18.8"E</v>
      </c>
    </row>
    <row r="423" spans="1:17" ht="15.75" customHeight="1" x14ac:dyDescent="0.2">
      <c r="A423" s="1">
        <v>628</v>
      </c>
      <c r="B423" s="1" t="s">
        <v>2270</v>
      </c>
      <c r="C423" s="1" t="s">
        <v>15</v>
      </c>
      <c r="D423" s="1" t="s">
        <v>16</v>
      </c>
      <c r="E423" s="1" t="s">
        <v>2248</v>
      </c>
      <c r="F423" s="1" t="s">
        <v>2249</v>
      </c>
      <c r="G423" s="1" t="s">
        <v>2271</v>
      </c>
      <c r="H423" s="1" t="s">
        <v>2272</v>
      </c>
      <c r="I423" s="1" t="s">
        <v>21</v>
      </c>
      <c r="J423" s="1" t="s">
        <v>22</v>
      </c>
      <c r="K423" s="2">
        <v>19.856988900000001</v>
      </c>
      <c r="L423" s="2">
        <v>105.85900340000001</v>
      </c>
      <c r="M423" s="1" t="s">
        <v>2273</v>
      </c>
      <c r="N423" s="1" t="s">
        <v>2249</v>
      </c>
      <c r="O423" s="1" t="str">
        <f>INT(K423)&amp;"°"&amp;INT(MOD(K423,1)*60)&amp;"'"&amp;
ROUND(MOD(MOD(K423,1)*60,1)*60,1)&amp;"""N"</f>
        <v>19°51'25.2"N</v>
      </c>
      <c r="P423" s="1" t="str">
        <f>INT(L423)&amp;"°"&amp;INT(MOD(L423,1)*60)&amp;"'"&amp;
ROUND(MOD(MOD(L423,1)*60,1)*60,1)&amp;"""E"</f>
        <v>105°51'32.4"E</v>
      </c>
      <c r="Q423" s="1" t="str">
        <f>O423 &amp; " " &amp; P423</f>
        <v>19°51'25.2"N 105°51'32.4"E</v>
      </c>
    </row>
    <row r="424" spans="1:17" ht="15.75" customHeight="1" x14ac:dyDescent="0.2">
      <c r="A424" s="1">
        <v>642</v>
      </c>
      <c r="B424" s="1" t="s">
        <v>2320</v>
      </c>
      <c r="C424" s="1" t="s">
        <v>15</v>
      </c>
      <c r="D424" s="1" t="s">
        <v>16</v>
      </c>
      <c r="E424" s="1" t="s">
        <v>2248</v>
      </c>
      <c r="F424" s="1" t="s">
        <v>2249</v>
      </c>
      <c r="G424" s="1" t="s">
        <v>2321</v>
      </c>
      <c r="H424" s="1" t="s">
        <v>2322</v>
      </c>
      <c r="I424" s="1" t="s">
        <v>21</v>
      </c>
      <c r="J424" s="1" t="s">
        <v>22</v>
      </c>
      <c r="K424" s="2">
        <v>19.898417039999998</v>
      </c>
      <c r="L424" s="2">
        <v>105.67410258</v>
      </c>
      <c r="M424" s="1" t="s">
        <v>2323</v>
      </c>
      <c r="N424" s="1" t="s">
        <v>2249</v>
      </c>
      <c r="O424" s="1" t="str">
        <f>INT(K424)&amp;"°"&amp;INT(MOD(K424,1)*60)&amp;"'"&amp;
ROUND(MOD(MOD(K424,1)*60,1)*60,1)&amp;"""N"</f>
        <v>19°53'54.3"N</v>
      </c>
      <c r="P424" s="1" t="str">
        <f>INT(L424)&amp;"°"&amp;INT(MOD(L424,1)*60)&amp;"'"&amp;
ROUND(MOD(MOD(L424,1)*60,1)*60,1)&amp;"""E"</f>
        <v>105°40'26.8"E</v>
      </c>
      <c r="Q424" s="1" t="str">
        <f>O424 &amp; " " &amp; P424</f>
        <v>19°53'54.3"N 105°40'26.8"E</v>
      </c>
    </row>
    <row r="425" spans="1:17" ht="15.75" customHeight="1" x14ac:dyDescent="0.2">
      <c r="A425" s="1">
        <v>644</v>
      </c>
      <c r="B425" s="1" t="s">
        <v>2327</v>
      </c>
      <c r="C425" s="1" t="s">
        <v>15</v>
      </c>
      <c r="D425" s="1" t="s">
        <v>16</v>
      </c>
      <c r="E425" s="1" t="s">
        <v>2248</v>
      </c>
      <c r="F425" s="1" t="s">
        <v>2249</v>
      </c>
      <c r="G425" s="1" t="s">
        <v>2328</v>
      </c>
      <c r="H425" s="1" t="s">
        <v>2329</v>
      </c>
      <c r="I425" s="1" t="s">
        <v>21</v>
      </c>
      <c r="J425" s="1" t="s">
        <v>22</v>
      </c>
      <c r="K425" s="2">
        <v>19.899564210000001</v>
      </c>
      <c r="L425" s="2">
        <v>105.20349887</v>
      </c>
      <c r="M425" s="1" t="s">
        <v>1790</v>
      </c>
      <c r="N425" s="1" t="s">
        <v>2249</v>
      </c>
      <c r="O425" s="1" t="str">
        <f>INT(K425)&amp;"°"&amp;INT(MOD(K425,1)*60)&amp;"'"&amp;
ROUND(MOD(MOD(K425,1)*60,1)*60,1)&amp;"""N"</f>
        <v>19°53'58.4"N</v>
      </c>
      <c r="P425" s="1" t="str">
        <f>INT(L425)&amp;"°"&amp;INT(MOD(L425,1)*60)&amp;"'"&amp;
ROUND(MOD(MOD(L425,1)*60,1)*60,1)&amp;"""E"</f>
        <v>105°12'12.6"E</v>
      </c>
      <c r="Q425" s="1" t="str">
        <f>O425 &amp; " " &amp; P425</f>
        <v>19°53'58.4"N 105°12'12.6"E</v>
      </c>
    </row>
    <row r="426" spans="1:17" ht="15.75" customHeight="1" x14ac:dyDescent="0.2">
      <c r="A426" s="1">
        <v>643</v>
      </c>
      <c r="B426" s="1" t="s">
        <v>2324</v>
      </c>
      <c r="C426" s="1" t="s">
        <v>15</v>
      </c>
      <c r="D426" s="1" t="s">
        <v>16</v>
      </c>
      <c r="E426" s="1" t="s">
        <v>2248</v>
      </c>
      <c r="F426" s="1" t="s">
        <v>2249</v>
      </c>
      <c r="G426" s="1" t="s">
        <v>2325</v>
      </c>
      <c r="H426" s="1" t="s">
        <v>2326</v>
      </c>
      <c r="I426" s="1" t="s">
        <v>21</v>
      </c>
      <c r="J426" s="1" t="s">
        <v>22</v>
      </c>
      <c r="K426" s="2">
        <v>19.922329479999998</v>
      </c>
      <c r="L426" s="2">
        <v>105.48197936</v>
      </c>
      <c r="M426" s="1" t="s">
        <v>1538</v>
      </c>
      <c r="N426" s="1" t="s">
        <v>2249</v>
      </c>
      <c r="O426" s="1" t="str">
        <f>INT(K426)&amp;"°"&amp;INT(MOD(K426,1)*60)&amp;"'"&amp;
ROUND(MOD(MOD(K426,1)*60,1)*60,1)&amp;"""N"</f>
        <v>19°55'20.4"N</v>
      </c>
      <c r="P426" s="1" t="str">
        <f>INT(L426)&amp;"°"&amp;INT(MOD(L426,1)*60)&amp;"'"&amp;
ROUND(MOD(MOD(L426,1)*60,1)*60,1)&amp;"""E"</f>
        <v>105°28'55.1"E</v>
      </c>
      <c r="Q426" s="1" t="str">
        <f>O426 &amp; " " &amp; P426</f>
        <v>19°55'20.4"N 105°28'55.1"E</v>
      </c>
    </row>
    <row r="427" spans="1:17" ht="15.75" customHeight="1" x14ac:dyDescent="0.2">
      <c r="A427" s="1">
        <v>627</v>
      </c>
      <c r="B427" s="1" t="s">
        <v>2267</v>
      </c>
      <c r="C427" s="1" t="s">
        <v>15</v>
      </c>
      <c r="D427" s="1" t="s">
        <v>16</v>
      </c>
      <c r="E427" s="1" t="s">
        <v>2248</v>
      </c>
      <c r="F427" s="1" t="s">
        <v>2249</v>
      </c>
      <c r="G427" s="1" t="s">
        <v>2268</v>
      </c>
      <c r="H427" s="1" t="s">
        <v>2269</v>
      </c>
      <c r="I427" s="1" t="s">
        <v>21</v>
      </c>
      <c r="J427" s="1" t="s">
        <v>22</v>
      </c>
      <c r="K427" s="2">
        <v>19.935485320000002</v>
      </c>
      <c r="L427" s="2">
        <v>105.88876297</v>
      </c>
      <c r="M427" s="1" t="s">
        <v>2268</v>
      </c>
      <c r="N427" s="1" t="s">
        <v>2249</v>
      </c>
      <c r="O427" s="1" t="str">
        <f>INT(K427)&amp;"°"&amp;INT(MOD(K427,1)*60)&amp;"'"&amp;
ROUND(MOD(MOD(K427,1)*60,1)*60,1)&amp;"""N"</f>
        <v>19°56'7.7"N</v>
      </c>
      <c r="P427" s="1" t="str">
        <f>INT(L427)&amp;"°"&amp;INT(MOD(L427,1)*60)&amp;"'"&amp;
ROUND(MOD(MOD(L427,1)*60,1)*60,1)&amp;"""E"</f>
        <v>105°53'19.5"E</v>
      </c>
      <c r="Q427" s="1" t="str">
        <f>O427 &amp; " " &amp; P427</f>
        <v>19°56'7.7"N 105°53'19.5"E</v>
      </c>
    </row>
    <row r="428" spans="1:17" ht="15.75" customHeight="1" x14ac:dyDescent="0.2">
      <c r="A428" s="1">
        <v>648</v>
      </c>
      <c r="B428" s="1" t="s">
        <v>2341</v>
      </c>
      <c r="C428" s="1" t="s">
        <v>15</v>
      </c>
      <c r="D428" s="1" t="s">
        <v>16</v>
      </c>
      <c r="E428" s="1" t="s">
        <v>2248</v>
      </c>
      <c r="F428" s="1" t="s">
        <v>2249</v>
      </c>
      <c r="G428" s="1" t="s">
        <v>2342</v>
      </c>
      <c r="H428" s="1" t="s">
        <v>2343</v>
      </c>
      <c r="I428" s="1" t="s">
        <v>21</v>
      </c>
      <c r="J428" s="1" t="s">
        <v>22</v>
      </c>
      <c r="K428" s="2">
        <v>19.999992249999998</v>
      </c>
      <c r="L428" s="2">
        <v>105.60505406999999</v>
      </c>
      <c r="M428" s="1" t="s">
        <v>2344</v>
      </c>
      <c r="N428" s="1" t="s">
        <v>2249</v>
      </c>
      <c r="O428" s="1" t="str">
        <f>INT(K428)&amp;"°"&amp;INT(MOD(K428,1)*60)&amp;"'"&amp;
ROUND(MOD(MOD(K428,1)*60,1)*60,1)&amp;"""N"</f>
        <v>19°59'60"N</v>
      </c>
      <c r="P428" s="1" t="str">
        <f>INT(L428)&amp;"°"&amp;INT(MOD(L428,1)*60)&amp;"'"&amp;
ROUND(MOD(MOD(L428,1)*60,1)*60,1)&amp;"""E"</f>
        <v>105°36'18.2"E</v>
      </c>
      <c r="Q428" s="1" t="str">
        <f>O428 &amp; " " &amp; P428</f>
        <v>19°59'60"N 105°36'18.2"E</v>
      </c>
    </row>
    <row r="429" spans="1:17" ht="15.75" customHeight="1" x14ac:dyDescent="0.2">
      <c r="A429" s="1">
        <v>631</v>
      </c>
      <c r="B429" s="1" t="s">
        <v>2282</v>
      </c>
      <c r="C429" s="1" t="s">
        <v>15</v>
      </c>
      <c r="D429" s="1" t="s">
        <v>16</v>
      </c>
      <c r="E429" s="1" t="s">
        <v>2248</v>
      </c>
      <c r="F429" s="1" t="s">
        <v>2249</v>
      </c>
      <c r="G429" s="1" t="s">
        <v>2283</v>
      </c>
      <c r="H429" s="1" t="s">
        <v>2284</v>
      </c>
      <c r="I429" s="1" t="s">
        <v>21</v>
      </c>
      <c r="J429" s="1" t="s">
        <v>22</v>
      </c>
      <c r="K429" s="2">
        <v>20.013225429999999</v>
      </c>
      <c r="L429" s="2">
        <v>105.98714145</v>
      </c>
      <c r="M429" s="1" t="s">
        <v>2285</v>
      </c>
      <c r="N429" s="1" t="s">
        <v>2249</v>
      </c>
      <c r="O429" s="1" t="str">
        <f>INT(K429)&amp;"°"&amp;INT(MOD(K429,1)*60)&amp;"'"&amp;
ROUND(MOD(MOD(K429,1)*60,1)*60,1)&amp;"""N"</f>
        <v>20°0'47.6"N</v>
      </c>
      <c r="P429" s="1" t="str">
        <f>INT(L429)&amp;"°"&amp;INT(MOD(L429,1)*60)&amp;"'"&amp;
ROUND(MOD(MOD(L429,1)*60,1)*60,1)&amp;"""E"</f>
        <v>105°59'13.7"E</v>
      </c>
      <c r="Q429" s="1" t="str">
        <f>O429 &amp; " " &amp; P429</f>
        <v>20°0'47.6"N 105°59'13.7"E</v>
      </c>
    </row>
    <row r="430" spans="1:17" ht="15.75" customHeight="1" x14ac:dyDescent="0.2">
      <c r="A430" s="1">
        <v>626</v>
      </c>
      <c r="B430" s="1" t="s">
        <v>2263</v>
      </c>
      <c r="C430" s="1" t="s">
        <v>15</v>
      </c>
      <c r="D430" s="1" t="s">
        <v>16</v>
      </c>
      <c r="E430" s="1" t="s">
        <v>2248</v>
      </c>
      <c r="F430" s="1" t="s">
        <v>2249</v>
      </c>
      <c r="G430" s="1" t="s">
        <v>2264</v>
      </c>
      <c r="H430" s="1" t="s">
        <v>2265</v>
      </c>
      <c r="I430" s="1" t="s">
        <v>21</v>
      </c>
      <c r="J430" s="1" t="s">
        <v>22</v>
      </c>
      <c r="K430" s="2">
        <v>20.039725050000001</v>
      </c>
      <c r="L430" s="2">
        <v>105.83377015000001</v>
      </c>
      <c r="M430" s="1" t="s">
        <v>2266</v>
      </c>
      <c r="N430" s="1" t="s">
        <v>2249</v>
      </c>
      <c r="O430" s="1" t="str">
        <f>INT(K430)&amp;"°"&amp;INT(MOD(K430,1)*60)&amp;"'"&amp;
ROUND(MOD(MOD(K430,1)*60,1)*60,1)&amp;"""N"</f>
        <v>20°2'23"N</v>
      </c>
      <c r="P430" s="1" t="str">
        <f>INT(L430)&amp;"°"&amp;INT(MOD(L430,1)*60)&amp;"'"&amp;
ROUND(MOD(MOD(L430,1)*60,1)*60,1)&amp;"""E"</f>
        <v>105°50'1.6"E</v>
      </c>
      <c r="Q430" s="1" t="str">
        <f>O430 &amp; " " &amp; P430</f>
        <v>20°2'23"N 105°50'1.6"E</v>
      </c>
    </row>
    <row r="431" spans="1:17" ht="15.75" customHeight="1" x14ac:dyDescent="0.2">
      <c r="A431" s="1">
        <v>647</v>
      </c>
      <c r="B431" s="1" t="s">
        <v>2338</v>
      </c>
      <c r="C431" s="1" t="s">
        <v>15</v>
      </c>
      <c r="D431" s="1" t="s">
        <v>16</v>
      </c>
      <c r="E431" s="1" t="s">
        <v>2248</v>
      </c>
      <c r="F431" s="1" t="s">
        <v>2249</v>
      </c>
      <c r="G431" s="1" t="s">
        <v>2339</v>
      </c>
      <c r="H431" s="1" t="s">
        <v>2340</v>
      </c>
      <c r="I431" s="1" t="s">
        <v>21</v>
      </c>
      <c r="J431" s="1" t="s">
        <v>22</v>
      </c>
      <c r="K431" s="2">
        <v>20.046435519999999</v>
      </c>
      <c r="L431" s="2">
        <v>105.66389395</v>
      </c>
      <c r="M431" s="1" t="s">
        <v>2339</v>
      </c>
      <c r="N431" s="1" t="s">
        <v>2249</v>
      </c>
      <c r="O431" s="1" t="str">
        <f>INT(K431)&amp;"°"&amp;INT(MOD(K431,1)*60)&amp;"'"&amp;
ROUND(MOD(MOD(K431,1)*60,1)*60,1)&amp;"""N"</f>
        <v>20°2'47.2"N</v>
      </c>
      <c r="P431" s="1" t="str">
        <f>INT(L431)&amp;"°"&amp;INT(MOD(L431,1)*60)&amp;"'"&amp;
ROUND(MOD(MOD(L431,1)*60,1)*60,1)&amp;"""E"</f>
        <v>105°39'50"E</v>
      </c>
      <c r="Q431" s="1" t="str">
        <f>O431 &amp; " " &amp; P431</f>
        <v>20°2'47.2"N 105°39'50"E</v>
      </c>
    </row>
    <row r="432" spans="1:17" ht="15.75" customHeight="1" x14ac:dyDescent="0.2">
      <c r="A432" s="1">
        <v>474</v>
      </c>
      <c r="B432" s="1" t="s">
        <v>1725</v>
      </c>
      <c r="C432" s="1" t="s">
        <v>15</v>
      </c>
      <c r="D432" s="1" t="s">
        <v>16</v>
      </c>
      <c r="E432" s="1" t="s">
        <v>1717</v>
      </c>
      <c r="F432" s="1" t="s">
        <v>844</v>
      </c>
      <c r="G432" s="1" t="s">
        <v>1726</v>
      </c>
      <c r="H432" s="1" t="s">
        <v>1727</v>
      </c>
      <c r="I432" s="1" t="s">
        <v>21</v>
      </c>
      <c r="J432" s="1" t="s">
        <v>22</v>
      </c>
      <c r="K432" s="2">
        <v>20.057284840000001</v>
      </c>
      <c r="L432" s="2">
        <v>106.08941566999999</v>
      </c>
      <c r="M432" s="1" t="s">
        <v>1728</v>
      </c>
      <c r="N432" s="1" t="s">
        <v>844</v>
      </c>
      <c r="O432" s="1" t="str">
        <f>INT(K432)&amp;"°"&amp;INT(MOD(K432,1)*60)&amp;"'"&amp;
ROUND(MOD(MOD(K432,1)*60,1)*60,1)&amp;"""N"</f>
        <v>20°3'26.2"N</v>
      </c>
      <c r="P432" s="1" t="str">
        <f>INT(L432)&amp;"°"&amp;INT(MOD(L432,1)*60)&amp;"'"&amp;
ROUND(MOD(MOD(L432,1)*60,1)*60,1)&amp;"""E"</f>
        <v>106°5'21.9"E</v>
      </c>
      <c r="Q432" s="1" t="str">
        <f>O432 &amp; " " &amp; P432</f>
        <v>20°3'26.2"N 106°5'21.9"E</v>
      </c>
    </row>
    <row r="433" spans="1:17" ht="15.75" customHeight="1" x14ac:dyDescent="0.2">
      <c r="A433" s="1">
        <v>632</v>
      </c>
      <c r="B433" s="1" t="s">
        <v>2286</v>
      </c>
      <c r="C433" s="1" t="s">
        <v>15</v>
      </c>
      <c r="D433" s="1" t="s">
        <v>16</v>
      </c>
      <c r="E433" s="1" t="s">
        <v>2248</v>
      </c>
      <c r="F433" s="1" t="s">
        <v>2249</v>
      </c>
      <c r="G433" s="1" t="s">
        <v>2287</v>
      </c>
      <c r="H433" s="1" t="s">
        <v>2288</v>
      </c>
      <c r="I433" s="1" t="s">
        <v>21</v>
      </c>
      <c r="J433" s="1" t="s">
        <v>22</v>
      </c>
      <c r="K433" s="2">
        <v>20.06137781</v>
      </c>
      <c r="L433" s="2">
        <v>105.37114699999999</v>
      </c>
      <c r="M433" s="1" t="s">
        <v>2287</v>
      </c>
      <c r="N433" s="1" t="s">
        <v>2249</v>
      </c>
      <c r="O433" s="1" t="str">
        <f>INT(K433)&amp;"°"&amp;INT(MOD(K433,1)*60)&amp;"'"&amp;
ROUND(MOD(MOD(K433,1)*60,1)*60,1)&amp;"""N"</f>
        <v>20°3'41"N</v>
      </c>
      <c r="P433" s="1" t="str">
        <f>INT(L433)&amp;"°"&amp;INT(MOD(L433,1)*60)&amp;"'"&amp;
ROUND(MOD(MOD(L433,1)*60,1)*60,1)&amp;"""E"</f>
        <v>105°22'16.1"E</v>
      </c>
      <c r="Q433" s="1" t="str">
        <f>O433 &amp; " " &amp; P433</f>
        <v>20°3'41"N 105°22'16.1"E</v>
      </c>
    </row>
    <row r="434" spans="1:17" ht="15.75" customHeight="1" x14ac:dyDescent="0.2">
      <c r="A434" s="1">
        <v>623</v>
      </c>
      <c r="B434" s="1" t="s">
        <v>2252</v>
      </c>
      <c r="C434" s="1" t="s">
        <v>15</v>
      </c>
      <c r="D434" s="1" t="s">
        <v>16</v>
      </c>
      <c r="E434" s="1" t="s">
        <v>2248</v>
      </c>
      <c r="F434" s="1" t="s">
        <v>2249</v>
      </c>
      <c r="G434" s="1" t="s">
        <v>2253</v>
      </c>
      <c r="H434" s="1" t="s">
        <v>2254</v>
      </c>
      <c r="I434" s="1" t="s">
        <v>53</v>
      </c>
      <c r="J434" s="1" t="s">
        <v>54</v>
      </c>
      <c r="K434" s="2">
        <v>20.085782170000002</v>
      </c>
      <c r="L434" s="2">
        <v>105.88071402</v>
      </c>
      <c r="M434" s="1" t="s">
        <v>2253</v>
      </c>
      <c r="N434" s="1" t="s">
        <v>2249</v>
      </c>
      <c r="O434" s="1" t="str">
        <f>INT(K434)&amp;"°"&amp;INT(MOD(K434,1)*60)&amp;"'"&amp;
ROUND(MOD(MOD(K434,1)*60,1)*60,1)&amp;"""N"</f>
        <v>20°5'8.8"N</v>
      </c>
      <c r="P434" s="1" t="str">
        <f>INT(L434)&amp;"°"&amp;INT(MOD(L434,1)*60)&amp;"'"&amp;
ROUND(MOD(MOD(L434,1)*60,1)*60,1)&amp;"""E"</f>
        <v>105°52'50.6"E</v>
      </c>
      <c r="Q434" s="1" t="str">
        <f>O434 &amp; " " &amp; P434</f>
        <v>20°5'8.8"N 105°52'50.6"E</v>
      </c>
    </row>
    <row r="435" spans="1:17" ht="15.75" customHeight="1" x14ac:dyDescent="0.2">
      <c r="A435" s="1">
        <v>446</v>
      </c>
      <c r="B435" s="1" t="s">
        <v>1629</v>
      </c>
      <c r="C435" s="1" t="s">
        <v>15</v>
      </c>
      <c r="D435" s="1" t="s">
        <v>16</v>
      </c>
      <c r="E435" s="1" t="s">
        <v>1611</v>
      </c>
      <c r="F435" s="1" t="s">
        <v>1612</v>
      </c>
      <c r="G435" s="1" t="s">
        <v>1630</v>
      </c>
      <c r="H435" s="1" t="s">
        <v>1631</v>
      </c>
      <c r="I435" s="1" t="s">
        <v>21</v>
      </c>
      <c r="J435" s="1" t="s">
        <v>22</v>
      </c>
      <c r="K435" s="2">
        <v>20.107284849999999</v>
      </c>
      <c r="L435" s="2">
        <v>106.15643387999999</v>
      </c>
      <c r="M435" s="1" t="s">
        <v>1632</v>
      </c>
      <c r="N435" s="1" t="s">
        <v>844</v>
      </c>
      <c r="O435" s="1" t="str">
        <f>INT(K435)&amp;"°"&amp;INT(MOD(K435,1)*60)&amp;"'"&amp;
ROUND(MOD(MOD(K435,1)*60,1)*60,1)&amp;"""N"</f>
        <v>20°6'26.2"N</v>
      </c>
      <c r="P435" s="1" t="str">
        <f>INT(L435)&amp;"°"&amp;INT(MOD(L435,1)*60)&amp;"'"&amp;
ROUND(MOD(MOD(L435,1)*60,1)*60,1)&amp;"""E"</f>
        <v>106°9'23.2"E</v>
      </c>
      <c r="Q435" s="1" t="str">
        <f>O435 &amp; " " &amp; P435</f>
        <v>20°6'26.2"N 106°9'23.2"E</v>
      </c>
    </row>
    <row r="436" spans="1:17" ht="15.75" customHeight="1" x14ac:dyDescent="0.2">
      <c r="A436" s="1">
        <v>479</v>
      </c>
      <c r="B436" s="1" t="s">
        <v>1739</v>
      </c>
      <c r="C436" s="1" t="s">
        <v>15</v>
      </c>
      <c r="D436" s="1" t="s">
        <v>16</v>
      </c>
      <c r="E436" s="1" t="s">
        <v>1717</v>
      </c>
      <c r="F436" s="1" t="s">
        <v>844</v>
      </c>
      <c r="G436" s="1" t="s">
        <v>1740</v>
      </c>
      <c r="H436" s="1" t="s">
        <v>1741</v>
      </c>
      <c r="I436" s="1" t="s">
        <v>21</v>
      </c>
      <c r="J436" s="1" t="s">
        <v>22</v>
      </c>
      <c r="K436" s="2">
        <v>20.12899796</v>
      </c>
      <c r="L436" s="2">
        <v>105.99572062</v>
      </c>
      <c r="M436" s="1" t="s">
        <v>1742</v>
      </c>
      <c r="N436" s="1" t="s">
        <v>844</v>
      </c>
      <c r="O436" s="1" t="str">
        <f>INT(K436)&amp;"°"&amp;INT(MOD(K436,1)*60)&amp;"'"&amp;
ROUND(MOD(MOD(K436,1)*60,1)*60,1)&amp;"""N"</f>
        <v>20°7'44.4"N</v>
      </c>
      <c r="P436" s="1" t="str">
        <f>INT(L436)&amp;"°"&amp;INT(MOD(L436,1)*60)&amp;"'"&amp;
ROUND(MOD(MOD(L436,1)*60,1)*60,1)&amp;"""E"</f>
        <v>105°59'44.6"E</v>
      </c>
      <c r="Q436" s="1" t="str">
        <f>O436 &amp; " " &amp; P436</f>
        <v>20°7'44.4"N 105°59'44.6"E</v>
      </c>
    </row>
    <row r="437" spans="1:17" ht="15.75" customHeight="1" x14ac:dyDescent="0.2">
      <c r="A437" s="1">
        <v>287</v>
      </c>
      <c r="B437" s="1" t="s">
        <v>1063</v>
      </c>
      <c r="C437" s="1" t="s">
        <v>15</v>
      </c>
      <c r="D437" s="1" t="s">
        <v>16</v>
      </c>
      <c r="E437" s="1" t="s">
        <v>1059</v>
      </c>
      <c r="F437" s="1" t="s">
        <v>1019</v>
      </c>
      <c r="G437" s="1" t="s">
        <v>1064</v>
      </c>
      <c r="H437" s="1" t="s">
        <v>1065</v>
      </c>
      <c r="I437" s="1" t="s">
        <v>21</v>
      </c>
      <c r="J437" s="1" t="s">
        <v>22</v>
      </c>
      <c r="K437" s="2">
        <v>20.138827589999998</v>
      </c>
      <c r="L437" s="2">
        <v>107.71656977000001</v>
      </c>
      <c r="M437" s="1" t="s">
        <v>1064</v>
      </c>
      <c r="N437" s="1" t="s">
        <v>1019</v>
      </c>
      <c r="O437" s="1" t="str">
        <f>INT(K437)&amp;"°"&amp;INT(MOD(K437,1)*60)&amp;"'"&amp;
ROUND(MOD(MOD(K437,1)*60,1)*60,1)&amp;"""N"</f>
        <v>20°8'19.8"N</v>
      </c>
      <c r="P437" s="1" t="str">
        <f>INT(L437)&amp;"°"&amp;INT(MOD(L437,1)*60)&amp;"'"&amp;
ROUND(MOD(MOD(L437,1)*60,1)*60,1)&amp;"""E"</f>
        <v>107°42'59.7"E</v>
      </c>
      <c r="Q437" s="1" t="str">
        <f>O437 &amp; " " &amp; P437</f>
        <v>20°8'19.8"N 107°42'59.7"E</v>
      </c>
    </row>
    <row r="438" spans="1:17" ht="15.75" customHeight="1" x14ac:dyDescent="0.2">
      <c r="A438" s="1">
        <v>629</v>
      </c>
      <c r="B438" s="1" t="s">
        <v>2274</v>
      </c>
      <c r="C438" s="1" t="s">
        <v>15</v>
      </c>
      <c r="D438" s="1" t="s">
        <v>16</v>
      </c>
      <c r="E438" s="1" t="s">
        <v>2248</v>
      </c>
      <c r="F438" s="1" t="s">
        <v>2249</v>
      </c>
      <c r="G438" s="1" t="s">
        <v>2275</v>
      </c>
      <c r="H438" s="1" t="s">
        <v>2276</v>
      </c>
      <c r="I438" s="1" t="s">
        <v>21</v>
      </c>
      <c r="J438" s="1" t="s">
        <v>22</v>
      </c>
      <c r="K438" s="2">
        <v>20.142424689999999</v>
      </c>
      <c r="L438" s="2">
        <v>105.14389412</v>
      </c>
      <c r="M438" s="1" t="s">
        <v>2277</v>
      </c>
      <c r="N438" s="1" t="s">
        <v>2249</v>
      </c>
      <c r="O438" s="1" t="str">
        <f>INT(K438)&amp;"°"&amp;INT(MOD(K438,1)*60)&amp;"'"&amp;
ROUND(MOD(MOD(K438,1)*60,1)*60,1)&amp;"""N"</f>
        <v>20°8'32.7"N</v>
      </c>
      <c r="P438" s="1" t="str">
        <f>INT(L438)&amp;"°"&amp;INT(MOD(L438,1)*60)&amp;"'"&amp;
ROUND(MOD(MOD(L438,1)*60,1)*60,1)&amp;"""E"</f>
        <v>105°8'38"E</v>
      </c>
      <c r="Q438" s="1" t="str">
        <f>O438 &amp; " " &amp; P438</f>
        <v>20°8'32.7"N 105°8'38"E</v>
      </c>
    </row>
    <row r="439" spans="1:17" ht="15.75" customHeight="1" x14ac:dyDescent="0.2">
      <c r="A439" s="1">
        <v>442</v>
      </c>
      <c r="B439" s="1" t="s">
        <v>1616</v>
      </c>
      <c r="C439" s="1" t="s">
        <v>15</v>
      </c>
      <c r="D439" s="1" t="s">
        <v>16</v>
      </c>
      <c r="E439" s="1" t="s">
        <v>1611</v>
      </c>
      <c r="F439" s="1" t="s">
        <v>1612</v>
      </c>
      <c r="G439" s="1" t="s">
        <v>1617</v>
      </c>
      <c r="H439" s="1" t="s">
        <v>1618</v>
      </c>
      <c r="I439" s="1" t="s">
        <v>21</v>
      </c>
      <c r="J439" s="1" t="s">
        <v>22</v>
      </c>
      <c r="K439" s="2">
        <v>20.14978726</v>
      </c>
      <c r="L439" s="2">
        <v>106.26917598999999</v>
      </c>
      <c r="M439" s="1" t="s">
        <v>1619</v>
      </c>
      <c r="N439" s="1" t="s">
        <v>844</v>
      </c>
      <c r="O439" s="1" t="str">
        <f>INT(K439)&amp;"°"&amp;INT(MOD(K439,1)*60)&amp;"'"&amp;
ROUND(MOD(MOD(K439,1)*60,1)*60,1)&amp;"""N"</f>
        <v>20°8'59.2"N</v>
      </c>
      <c r="P439" s="1" t="str">
        <f>INT(L439)&amp;"°"&amp;INT(MOD(L439,1)*60)&amp;"'"&amp;
ROUND(MOD(MOD(L439,1)*60,1)*60,1)&amp;"""E"</f>
        <v>106°16'9"E</v>
      </c>
      <c r="Q439" s="1" t="str">
        <f>O439 &amp; " " &amp; P439</f>
        <v>20°8'59.2"N 106°16'9"E</v>
      </c>
    </row>
    <row r="440" spans="1:17" ht="15.75" customHeight="1" x14ac:dyDescent="0.2">
      <c r="A440" s="1">
        <v>477</v>
      </c>
      <c r="B440" s="1" t="s">
        <v>1733</v>
      </c>
      <c r="C440" s="1" t="s">
        <v>15</v>
      </c>
      <c r="D440" s="1" t="s">
        <v>16</v>
      </c>
      <c r="E440" s="1" t="s">
        <v>1717</v>
      </c>
      <c r="F440" s="1" t="s">
        <v>844</v>
      </c>
      <c r="G440" s="1" t="s">
        <v>1734</v>
      </c>
      <c r="H440" s="1" t="s">
        <v>1735</v>
      </c>
      <c r="I440" s="1" t="s">
        <v>27</v>
      </c>
      <c r="J440" s="1" t="s">
        <v>28</v>
      </c>
      <c r="K440" s="2">
        <v>20.156537109999999</v>
      </c>
      <c r="L440" s="2">
        <v>105.89169320000001</v>
      </c>
      <c r="M440" s="1" t="s">
        <v>1734</v>
      </c>
      <c r="N440" s="1" t="s">
        <v>844</v>
      </c>
      <c r="O440" s="1" t="str">
        <f>INT(K440)&amp;"°"&amp;INT(MOD(K440,1)*60)&amp;"'"&amp;
ROUND(MOD(MOD(K440,1)*60,1)*60,1)&amp;"""N"</f>
        <v>20°9'23.5"N</v>
      </c>
      <c r="P440" s="1" t="str">
        <f>INT(L440)&amp;"°"&amp;INT(MOD(L440,1)*60)&amp;"'"&amp;
ROUND(MOD(MOD(L440,1)*60,1)*60,1)&amp;"""E"</f>
        <v>105°53'30.1"E</v>
      </c>
      <c r="Q440" s="1" t="str">
        <f>O440 &amp; " " &amp; P440</f>
        <v>20°9'23.5"N 105°53'30.1"E</v>
      </c>
    </row>
    <row r="441" spans="1:17" ht="15.75" customHeight="1" x14ac:dyDescent="0.2">
      <c r="A441" s="1">
        <v>478</v>
      </c>
      <c r="B441" s="1" t="s">
        <v>1736</v>
      </c>
      <c r="C441" s="1" t="s">
        <v>15</v>
      </c>
      <c r="D441" s="1" t="s">
        <v>16</v>
      </c>
      <c r="E441" s="1" t="s">
        <v>1717</v>
      </c>
      <c r="F441" s="1" t="s">
        <v>844</v>
      </c>
      <c r="G441" s="1" t="s">
        <v>1737</v>
      </c>
      <c r="H441" s="1" t="s">
        <v>1738</v>
      </c>
      <c r="I441" s="1" t="s">
        <v>21</v>
      </c>
      <c r="J441" s="1" t="s">
        <v>22</v>
      </c>
      <c r="K441" s="2">
        <v>20.189567350000001</v>
      </c>
      <c r="L441" s="2">
        <v>106.08774443999999</v>
      </c>
      <c r="M441" s="1" t="s">
        <v>1192</v>
      </c>
      <c r="N441" s="1" t="s">
        <v>844</v>
      </c>
      <c r="O441" s="1" t="str">
        <f>INT(K441)&amp;"°"&amp;INT(MOD(K441,1)*60)&amp;"'"&amp;
ROUND(MOD(MOD(K441,1)*60,1)*60,1)&amp;"""N"</f>
        <v>20°11'22.4"N</v>
      </c>
      <c r="P441" s="1" t="str">
        <f>INT(L441)&amp;"°"&amp;INT(MOD(L441,1)*60)&amp;"'"&amp;
ROUND(MOD(MOD(L441,1)*60,1)*60,1)&amp;"""E"</f>
        <v>106°5'15.9"E</v>
      </c>
      <c r="Q441" s="1" t="str">
        <f>O441 &amp; " " &amp; P441</f>
        <v>20°11'22.4"N 106°5'15.9"E</v>
      </c>
    </row>
    <row r="442" spans="1:17" ht="15.75" customHeight="1" x14ac:dyDescent="0.2">
      <c r="A442" s="1">
        <v>624</v>
      </c>
      <c r="B442" s="1" t="s">
        <v>2255</v>
      </c>
      <c r="C442" s="1" t="s">
        <v>15</v>
      </c>
      <c r="D442" s="1" t="s">
        <v>16</v>
      </c>
      <c r="E442" s="1" t="s">
        <v>2248</v>
      </c>
      <c r="F442" s="1" t="s">
        <v>2249</v>
      </c>
      <c r="G442" s="1" t="s">
        <v>2256</v>
      </c>
      <c r="H442" s="1" t="s">
        <v>2257</v>
      </c>
      <c r="I442" s="1" t="s">
        <v>21</v>
      </c>
      <c r="J442" s="1" t="s">
        <v>22</v>
      </c>
      <c r="K442" s="2">
        <v>20.199324069999999</v>
      </c>
      <c r="L442" s="2">
        <v>105.46134553</v>
      </c>
      <c r="M442" s="1" t="s">
        <v>2258</v>
      </c>
      <c r="N442" s="1" t="s">
        <v>2249</v>
      </c>
      <c r="O442" s="1" t="str">
        <f>INT(K442)&amp;"°"&amp;INT(MOD(K442,1)*60)&amp;"'"&amp;
ROUND(MOD(MOD(K442,1)*60,1)*60,1)&amp;"""N"</f>
        <v>20°11'57.6"N</v>
      </c>
      <c r="P442" s="1" t="str">
        <f>INT(L442)&amp;"°"&amp;INT(MOD(L442,1)*60)&amp;"'"&amp;
ROUND(MOD(MOD(L442,1)*60,1)*60,1)&amp;"""E"</f>
        <v>105°27'40.8"E</v>
      </c>
      <c r="Q442" s="1" t="str">
        <f>O442 &amp; " " &amp; P442</f>
        <v>20°11'57.6"N 105°27'40.8"E</v>
      </c>
    </row>
    <row r="443" spans="1:17" ht="15.75" customHeight="1" x14ac:dyDescent="0.2">
      <c r="A443" s="1">
        <v>640</v>
      </c>
      <c r="B443" s="1" t="s">
        <v>2314</v>
      </c>
      <c r="C443" s="1" t="s">
        <v>15</v>
      </c>
      <c r="D443" s="1" t="s">
        <v>16</v>
      </c>
      <c r="E443" s="1" t="s">
        <v>2248</v>
      </c>
      <c r="F443" s="1" t="s">
        <v>2249</v>
      </c>
      <c r="G443" s="1" t="s">
        <v>2315</v>
      </c>
      <c r="H443" s="1" t="s">
        <v>2316</v>
      </c>
      <c r="I443" s="1" t="s">
        <v>21</v>
      </c>
      <c r="J443" s="1" t="s">
        <v>22</v>
      </c>
      <c r="K443" s="2">
        <v>20.21091251</v>
      </c>
      <c r="L443" s="2">
        <v>105.62188845999999</v>
      </c>
      <c r="M443" s="1" t="s">
        <v>2317</v>
      </c>
      <c r="N443" s="1" t="s">
        <v>2249</v>
      </c>
      <c r="O443" s="1" t="str">
        <f>INT(K443)&amp;"°"&amp;INT(MOD(K443,1)*60)&amp;"'"&amp;
ROUND(MOD(MOD(K443,1)*60,1)*60,1)&amp;"""N"</f>
        <v>20°12'39.3"N</v>
      </c>
      <c r="P443" s="1" t="str">
        <f>INT(L443)&amp;"°"&amp;INT(MOD(L443,1)*60)&amp;"'"&amp;
ROUND(MOD(MOD(L443,1)*60,1)*60,1)&amp;"""E"</f>
        <v>105°37'18.8"E</v>
      </c>
      <c r="Q443" s="1" t="str">
        <f>O443 &amp; " " &amp; P443</f>
        <v>20°12'39.3"N 105°37'18.8"E</v>
      </c>
    </row>
    <row r="444" spans="1:17" ht="15.75" customHeight="1" x14ac:dyDescent="0.2">
      <c r="A444" s="1">
        <v>476</v>
      </c>
      <c r="B444" s="1" t="s">
        <v>1731</v>
      </c>
      <c r="C444" s="1" t="s">
        <v>15</v>
      </c>
      <c r="D444" s="1" t="s">
        <v>16</v>
      </c>
      <c r="E444" s="1" t="s">
        <v>1717</v>
      </c>
      <c r="F444" s="1" t="s">
        <v>844</v>
      </c>
      <c r="G444" s="1" t="s">
        <v>844</v>
      </c>
      <c r="H444" s="1" t="s">
        <v>1732</v>
      </c>
      <c r="I444" s="1" t="s">
        <v>27</v>
      </c>
      <c r="J444" s="1" t="s">
        <v>28</v>
      </c>
      <c r="K444" s="2">
        <v>20.246507090000001</v>
      </c>
      <c r="L444" s="2">
        <v>105.97175552</v>
      </c>
      <c r="M444" s="1" t="s">
        <v>1722</v>
      </c>
      <c r="N444" s="1" t="s">
        <v>844</v>
      </c>
      <c r="O444" s="1" t="str">
        <f>INT(K444)&amp;"°"&amp;INT(MOD(K444,1)*60)&amp;"'"&amp;
ROUND(MOD(MOD(K444,1)*60,1)*60,1)&amp;"""N"</f>
        <v>20°14'47.4"N</v>
      </c>
      <c r="P444" s="1" t="str">
        <f>INT(L444)&amp;"°"&amp;INT(MOD(L444,1)*60)&amp;"'"&amp;
ROUND(MOD(MOD(L444,1)*60,1)*60,1)&amp;"""E"</f>
        <v>105°58'18.3"E</v>
      </c>
      <c r="Q444" s="1" t="str">
        <f>O444 &amp; " " &amp; P444</f>
        <v>20°14'47.4"N 105°58'18.3"E</v>
      </c>
    </row>
    <row r="445" spans="1:17" ht="15.75" customHeight="1" x14ac:dyDescent="0.2">
      <c r="A445" s="1">
        <v>447</v>
      </c>
      <c r="B445" s="1" t="s">
        <v>1633</v>
      </c>
      <c r="C445" s="1" t="s">
        <v>15</v>
      </c>
      <c r="D445" s="1" t="s">
        <v>16</v>
      </c>
      <c r="E445" s="1" t="s">
        <v>1611</v>
      </c>
      <c r="F445" s="1" t="s">
        <v>1612</v>
      </c>
      <c r="G445" s="1" t="s">
        <v>1634</v>
      </c>
      <c r="H445" s="1" t="s">
        <v>1635</v>
      </c>
      <c r="I445" s="1" t="s">
        <v>21</v>
      </c>
      <c r="J445" s="1" t="s">
        <v>22</v>
      </c>
      <c r="K445" s="2">
        <v>20.24708648</v>
      </c>
      <c r="L445" s="2">
        <v>106.24785910999999</v>
      </c>
      <c r="M445" s="1" t="s">
        <v>1634</v>
      </c>
      <c r="N445" s="1" t="s">
        <v>844</v>
      </c>
      <c r="O445" s="1" t="str">
        <f>INT(K445)&amp;"°"&amp;INT(MOD(K445,1)*60)&amp;"'"&amp;
ROUND(MOD(MOD(K445,1)*60,1)*60,1)&amp;"""N"</f>
        <v>20°14'49.5"N</v>
      </c>
      <c r="P445" s="1" t="str">
        <f>INT(L445)&amp;"°"&amp;INT(MOD(L445,1)*60)&amp;"'"&amp;
ROUND(MOD(MOD(L445,1)*60,1)*60,1)&amp;"""E"</f>
        <v>106°14'52.3"E</v>
      </c>
      <c r="Q445" s="1" t="str">
        <f>O445 &amp; " " &amp; P445</f>
        <v>20°14'49.5"N 106°14'52.3"E</v>
      </c>
    </row>
    <row r="446" spans="1:17" ht="15.75" customHeight="1" x14ac:dyDescent="0.2">
      <c r="A446" s="1">
        <v>441</v>
      </c>
      <c r="B446" s="1" t="s">
        <v>1610</v>
      </c>
      <c r="C446" s="1" t="s">
        <v>15</v>
      </c>
      <c r="D446" s="1" t="s">
        <v>16</v>
      </c>
      <c r="E446" s="1" t="s">
        <v>1611</v>
      </c>
      <c r="F446" s="1" t="s">
        <v>1612</v>
      </c>
      <c r="G446" s="1" t="s">
        <v>1613</v>
      </c>
      <c r="H446" s="1" t="s">
        <v>1614</v>
      </c>
      <c r="I446" s="1" t="s">
        <v>21</v>
      </c>
      <c r="J446" s="1" t="s">
        <v>22</v>
      </c>
      <c r="K446" s="2">
        <v>20.249877649999998</v>
      </c>
      <c r="L446" s="2">
        <v>106.46897451</v>
      </c>
      <c r="M446" s="1" t="s">
        <v>1615</v>
      </c>
      <c r="N446" s="1" t="s">
        <v>844</v>
      </c>
      <c r="O446" s="1" t="str">
        <f>INT(K446)&amp;"°"&amp;INT(MOD(K446,1)*60)&amp;"'"&amp;
ROUND(MOD(MOD(K446,1)*60,1)*60,1)&amp;"""N"</f>
        <v>20°14'59.6"N</v>
      </c>
      <c r="P446" s="1" t="str">
        <f>INT(L446)&amp;"°"&amp;INT(MOD(L446,1)*60)&amp;"'"&amp;
ROUND(MOD(MOD(L446,1)*60,1)*60,1)&amp;"""E"</f>
        <v>106°28'8.3"E</v>
      </c>
      <c r="Q446" s="1" t="str">
        <f>O446 &amp; " " &amp; P446</f>
        <v>20°14'59.6"N 106°28'8.3"E</v>
      </c>
    </row>
    <row r="447" spans="1:17" ht="15.75" customHeight="1" x14ac:dyDescent="0.2">
      <c r="A447" s="1">
        <v>473</v>
      </c>
      <c r="B447" s="1" t="s">
        <v>1721</v>
      </c>
      <c r="C447" s="1" t="s">
        <v>15</v>
      </c>
      <c r="D447" s="1" t="s">
        <v>16</v>
      </c>
      <c r="E447" s="1" t="s">
        <v>1717</v>
      </c>
      <c r="F447" s="1" t="s">
        <v>844</v>
      </c>
      <c r="G447" s="1" t="s">
        <v>1722</v>
      </c>
      <c r="H447" s="1" t="s">
        <v>1723</v>
      </c>
      <c r="I447" s="1" t="s">
        <v>21</v>
      </c>
      <c r="J447" s="1" t="s">
        <v>22</v>
      </c>
      <c r="K447" s="2">
        <v>20.253990930000001</v>
      </c>
      <c r="L447" s="2">
        <v>105.92847613000001</v>
      </c>
      <c r="M447" s="1" t="s">
        <v>1724</v>
      </c>
      <c r="N447" s="1" t="s">
        <v>844</v>
      </c>
      <c r="O447" s="1" t="str">
        <f>INT(K447)&amp;"°"&amp;INT(MOD(K447,1)*60)&amp;"'"&amp;
ROUND(MOD(MOD(K447,1)*60,1)*60,1)&amp;"""N"</f>
        <v>20°15'14.4"N</v>
      </c>
      <c r="P447" s="1" t="str">
        <f>INT(L447)&amp;"°"&amp;INT(MOD(L447,1)*60)&amp;"'"&amp;
ROUND(MOD(MOD(L447,1)*60,1)*60,1)&amp;"""E"</f>
        <v>105°55'42.5"E</v>
      </c>
      <c r="Q447" s="1" t="str">
        <f>O447 &amp; " " &amp; P447</f>
        <v>20°15'14.4"N 105°55'42.5"E</v>
      </c>
    </row>
    <row r="448" spans="1:17" ht="15.75" customHeight="1" x14ac:dyDescent="0.2">
      <c r="A448" s="1">
        <v>637</v>
      </c>
      <c r="B448" s="1" t="s">
        <v>2304</v>
      </c>
      <c r="C448" s="1" t="s">
        <v>15</v>
      </c>
      <c r="D448" s="1" t="s">
        <v>16</v>
      </c>
      <c r="E448" s="1" t="s">
        <v>2248</v>
      </c>
      <c r="F448" s="1" t="s">
        <v>2249</v>
      </c>
      <c r="G448" s="1" t="s">
        <v>2305</v>
      </c>
      <c r="H448" s="1" t="s">
        <v>2306</v>
      </c>
      <c r="I448" s="1" t="s">
        <v>21</v>
      </c>
      <c r="J448" s="1" t="s">
        <v>22</v>
      </c>
      <c r="K448" s="2">
        <v>20.27105027</v>
      </c>
      <c r="L448" s="2">
        <v>104.84576561999999</v>
      </c>
      <c r="M448" s="1" t="s">
        <v>2307</v>
      </c>
      <c r="N448" s="1" t="s">
        <v>2249</v>
      </c>
      <c r="O448" s="1" t="str">
        <f>INT(K448)&amp;"°"&amp;INT(MOD(K448,1)*60)&amp;"'"&amp;
ROUND(MOD(MOD(K448,1)*60,1)*60,1)&amp;"""N"</f>
        <v>20°16'15.8"N</v>
      </c>
      <c r="P448" s="1" t="str">
        <f>INT(L448)&amp;"°"&amp;INT(MOD(L448,1)*60)&amp;"'"&amp;
ROUND(MOD(MOD(L448,1)*60,1)*60,1)&amp;"""E"</f>
        <v>104°50'44.8"E</v>
      </c>
      <c r="Q448" s="1" t="str">
        <f>O448 &amp; " " &amp; P448</f>
        <v>20°16'15.8"N 104°50'44.8"E</v>
      </c>
    </row>
    <row r="449" spans="1:17" ht="15.75" customHeight="1" x14ac:dyDescent="0.2">
      <c r="A449" s="1">
        <v>475</v>
      </c>
      <c r="B449" s="1" t="s">
        <v>1729</v>
      </c>
      <c r="C449" s="1" t="s">
        <v>15</v>
      </c>
      <c r="D449" s="1" t="s">
        <v>16</v>
      </c>
      <c r="E449" s="1" t="s">
        <v>1717</v>
      </c>
      <c r="F449" s="1" t="s">
        <v>844</v>
      </c>
      <c r="G449" s="1" t="s">
        <v>1730</v>
      </c>
      <c r="H449" s="1" t="s">
        <v>1730</v>
      </c>
      <c r="I449" s="1" t="s">
        <v>21</v>
      </c>
      <c r="J449" s="1" t="s">
        <v>22</v>
      </c>
      <c r="K449" s="2">
        <v>20.29112142</v>
      </c>
      <c r="L449" s="2">
        <v>105.74403968</v>
      </c>
      <c r="M449" s="1" t="s">
        <v>1730</v>
      </c>
      <c r="N449" s="1" t="s">
        <v>844</v>
      </c>
      <c r="O449" s="1" t="str">
        <f>INT(K449)&amp;"°"&amp;INT(MOD(K449,1)*60)&amp;"'"&amp;
ROUND(MOD(MOD(K449,1)*60,1)*60,1)&amp;"""N"</f>
        <v>20°17'28"N</v>
      </c>
      <c r="P449" s="1" t="str">
        <f>INT(L449)&amp;"°"&amp;INT(MOD(L449,1)*60)&amp;"'"&amp;
ROUND(MOD(MOD(L449,1)*60,1)*60,1)&amp;"""E"</f>
        <v>105°44'38.5"E</v>
      </c>
      <c r="Q449" s="1" t="str">
        <f>O449 &amp; " " &amp; P449</f>
        <v>20°17'28"N 105°44'38.5"E</v>
      </c>
    </row>
    <row r="450" spans="1:17" ht="15.75" customHeight="1" x14ac:dyDescent="0.2">
      <c r="A450" s="1">
        <v>449</v>
      </c>
      <c r="B450" s="1" t="s">
        <v>1640</v>
      </c>
      <c r="C450" s="1" t="s">
        <v>15</v>
      </c>
      <c r="D450" s="1" t="s">
        <v>16</v>
      </c>
      <c r="E450" s="1" t="s">
        <v>1611</v>
      </c>
      <c r="F450" s="1" t="s">
        <v>1612</v>
      </c>
      <c r="G450" s="1" t="s">
        <v>1641</v>
      </c>
      <c r="H450" s="1" t="s">
        <v>1642</v>
      </c>
      <c r="I450" s="1" t="s">
        <v>21</v>
      </c>
      <c r="J450" s="1" t="s">
        <v>22</v>
      </c>
      <c r="K450" s="2">
        <v>20.301770650000002</v>
      </c>
      <c r="L450" s="2">
        <v>106.35485581</v>
      </c>
      <c r="M450" s="1" t="s">
        <v>1643</v>
      </c>
      <c r="N450" s="1" t="s">
        <v>844</v>
      </c>
      <c r="O450" s="1" t="str">
        <f>INT(K450)&amp;"°"&amp;INT(MOD(K450,1)*60)&amp;"'"&amp;
ROUND(MOD(MOD(K450,1)*60,1)*60,1)&amp;"""N"</f>
        <v>20°18'6.4"N</v>
      </c>
      <c r="P450" s="1" t="str">
        <f>INT(L450)&amp;"°"&amp;INT(MOD(L450,1)*60)&amp;"'"&amp;
ROUND(MOD(MOD(L450,1)*60,1)*60,1)&amp;"""E"</f>
        <v>106°21'17.5"E</v>
      </c>
      <c r="Q450" s="1" t="str">
        <f>O450 &amp; " " &amp; P450</f>
        <v>20°18'6.4"N 106°21'17.5"E</v>
      </c>
    </row>
    <row r="451" spans="1:17" ht="15.75" customHeight="1" x14ac:dyDescent="0.2">
      <c r="A451" s="1">
        <v>450</v>
      </c>
      <c r="B451" s="1" t="s">
        <v>1644</v>
      </c>
      <c r="C451" s="1" t="s">
        <v>15</v>
      </c>
      <c r="D451" s="1" t="s">
        <v>16</v>
      </c>
      <c r="E451" s="1" t="s">
        <v>1611</v>
      </c>
      <c r="F451" s="1" t="s">
        <v>1612</v>
      </c>
      <c r="G451" s="1" t="s">
        <v>1645</v>
      </c>
      <c r="H451" s="1" t="s">
        <v>1646</v>
      </c>
      <c r="I451" s="1" t="s">
        <v>21</v>
      </c>
      <c r="J451" s="1" t="s">
        <v>22</v>
      </c>
      <c r="K451" s="2">
        <v>20.322054949999998</v>
      </c>
      <c r="L451" s="2">
        <v>106.02430515</v>
      </c>
      <c r="M451" s="1" t="s">
        <v>1645</v>
      </c>
      <c r="N451" s="1" t="s">
        <v>844</v>
      </c>
      <c r="O451" s="1" t="str">
        <f>INT(K451)&amp;"°"&amp;INT(MOD(K451,1)*60)&amp;"'"&amp;
ROUND(MOD(MOD(K451,1)*60,1)*60,1)&amp;"""N"</f>
        <v>20°19'19.4"N</v>
      </c>
      <c r="P451" s="1" t="str">
        <f>INT(L451)&amp;"°"&amp;INT(MOD(L451,1)*60)&amp;"'"&amp;
ROUND(MOD(MOD(L451,1)*60,1)*60,1)&amp;"""E"</f>
        <v>106°1'27.5"E</v>
      </c>
      <c r="Q451" s="1" t="str">
        <f>O451 &amp; " " &amp; P451</f>
        <v>20°19'19.4"N 106°1'27.5"E</v>
      </c>
    </row>
    <row r="452" spans="1:17" ht="15.75" customHeight="1" x14ac:dyDescent="0.2">
      <c r="A452" s="1">
        <v>445</v>
      </c>
      <c r="B452" s="1" t="s">
        <v>1626</v>
      </c>
      <c r="C452" s="1" t="s">
        <v>15</v>
      </c>
      <c r="D452" s="1" t="s">
        <v>16</v>
      </c>
      <c r="E452" s="1" t="s">
        <v>1611</v>
      </c>
      <c r="F452" s="1" t="s">
        <v>1612</v>
      </c>
      <c r="G452" s="1" t="s">
        <v>1627</v>
      </c>
      <c r="H452" s="1" t="s">
        <v>1628</v>
      </c>
      <c r="I452" s="1" t="s">
        <v>21</v>
      </c>
      <c r="J452" s="1" t="s">
        <v>22</v>
      </c>
      <c r="K452" s="2">
        <v>20.339084450000001</v>
      </c>
      <c r="L452" s="2">
        <v>106.21238264</v>
      </c>
      <c r="M452" s="1" t="s">
        <v>1627</v>
      </c>
      <c r="N452" s="1" t="s">
        <v>844</v>
      </c>
      <c r="O452" s="1" t="str">
        <f>INT(K452)&amp;"°"&amp;INT(MOD(K452,1)*60)&amp;"'"&amp;
ROUND(MOD(MOD(K452,1)*60,1)*60,1)&amp;"""N"</f>
        <v>20°20'20.7"N</v>
      </c>
      <c r="P452" s="1" t="str">
        <f>INT(L452)&amp;"°"&amp;INT(MOD(L452,1)*60)&amp;"'"&amp;
ROUND(MOD(MOD(L452,1)*60,1)*60,1)&amp;"""E"</f>
        <v>106°12'44.6"E</v>
      </c>
      <c r="Q452" s="1" t="str">
        <f>O452 &amp; " " &amp; P452</f>
        <v>20°20'20.7"N 106°12'44.6"E</v>
      </c>
    </row>
    <row r="453" spans="1:17" ht="15.75" customHeight="1" x14ac:dyDescent="0.2">
      <c r="A453" s="1">
        <v>472</v>
      </c>
      <c r="B453" s="1" t="s">
        <v>1716</v>
      </c>
      <c r="C453" s="1" t="s">
        <v>15</v>
      </c>
      <c r="D453" s="1" t="s">
        <v>16</v>
      </c>
      <c r="E453" s="1" t="s">
        <v>1717</v>
      </c>
      <c r="F453" s="1" t="s">
        <v>844</v>
      </c>
      <c r="G453" s="1" t="s">
        <v>1718</v>
      </c>
      <c r="H453" s="1" t="s">
        <v>1719</v>
      </c>
      <c r="I453" s="1" t="s">
        <v>21</v>
      </c>
      <c r="J453" s="1" t="s">
        <v>22</v>
      </c>
      <c r="K453" s="2">
        <v>20.34157488</v>
      </c>
      <c r="L453" s="2">
        <v>105.86189252</v>
      </c>
      <c r="M453" s="1" t="s">
        <v>1720</v>
      </c>
      <c r="N453" s="1" t="s">
        <v>844</v>
      </c>
      <c r="O453" s="1" t="str">
        <f>INT(K453)&amp;"°"&amp;INT(MOD(K453,1)*60)&amp;"'"&amp;
ROUND(MOD(MOD(K453,1)*60,1)*60,1)&amp;"""N"</f>
        <v>20°20'29.7"N</v>
      </c>
      <c r="P453" s="1" t="str">
        <f>INT(L453)&amp;"°"&amp;INT(MOD(L453,1)*60)&amp;"'"&amp;
ROUND(MOD(MOD(L453,1)*60,1)*60,1)&amp;"""E"</f>
        <v>105°51'42.8"E</v>
      </c>
      <c r="Q453" s="1" t="str">
        <f>O453 &amp; " " &amp; P453</f>
        <v>20°20'29.7"N 105°51'42.8"E</v>
      </c>
    </row>
    <row r="454" spans="1:17" ht="15.75" customHeight="1" x14ac:dyDescent="0.2">
      <c r="A454" s="1">
        <v>622</v>
      </c>
      <c r="B454" s="1" t="s">
        <v>2247</v>
      </c>
      <c r="C454" s="1" t="s">
        <v>15</v>
      </c>
      <c r="D454" s="1" t="s">
        <v>16</v>
      </c>
      <c r="E454" s="1" t="s">
        <v>2248</v>
      </c>
      <c r="F454" s="1" t="s">
        <v>2249</v>
      </c>
      <c r="G454" s="1" t="s">
        <v>2250</v>
      </c>
      <c r="H454" s="1" t="s">
        <v>2251</v>
      </c>
      <c r="I454" s="1" t="s">
        <v>21</v>
      </c>
      <c r="J454" s="1" t="s">
        <v>22</v>
      </c>
      <c r="K454" s="2">
        <v>20.35557687</v>
      </c>
      <c r="L454" s="2">
        <v>105.23189373</v>
      </c>
      <c r="M454" s="1" t="s">
        <v>2250</v>
      </c>
      <c r="N454" s="1" t="s">
        <v>2249</v>
      </c>
      <c r="O454" s="1" t="str">
        <f>INT(K454)&amp;"°"&amp;INT(MOD(K454,1)*60)&amp;"'"&amp;
ROUND(MOD(MOD(K454,1)*60,1)*60,1)&amp;"""N"</f>
        <v>20°21'20.1"N</v>
      </c>
      <c r="P454" s="1" t="str">
        <f>INT(L454)&amp;"°"&amp;INT(MOD(L454,1)*60)&amp;"'"&amp;
ROUND(MOD(MOD(L454,1)*60,1)*60,1)&amp;"""E"</f>
        <v>105°13'54.8"E</v>
      </c>
      <c r="Q454" s="1" t="str">
        <f>O454 &amp; " " &amp; P454</f>
        <v>20°21'20.1"N 105°13'54.8"E</v>
      </c>
    </row>
    <row r="455" spans="1:17" ht="15.75" customHeight="1" x14ac:dyDescent="0.2">
      <c r="A455" s="1">
        <v>611</v>
      </c>
      <c r="B455" s="1" t="s">
        <v>2209</v>
      </c>
      <c r="C455" s="1" t="s">
        <v>15</v>
      </c>
      <c r="D455" s="1" t="s">
        <v>16</v>
      </c>
      <c r="E455" s="1" t="s">
        <v>2190</v>
      </c>
      <c r="F455" s="1" t="s">
        <v>2191</v>
      </c>
      <c r="G455" s="1" t="s">
        <v>2210</v>
      </c>
      <c r="H455" s="1" t="s">
        <v>2211</v>
      </c>
      <c r="I455" s="1" t="s">
        <v>21</v>
      </c>
      <c r="J455" s="1" t="s">
        <v>22</v>
      </c>
      <c r="K455" s="2">
        <v>20.371596629999999</v>
      </c>
      <c r="L455" s="2">
        <v>106.54158562000001</v>
      </c>
      <c r="M455" s="1" t="s">
        <v>2212</v>
      </c>
      <c r="N455" s="1" t="s">
        <v>1261</v>
      </c>
      <c r="O455" s="1" t="str">
        <f>INT(K455)&amp;"°"&amp;INT(MOD(K455,1)*60)&amp;"'"&amp;
ROUND(MOD(MOD(K455,1)*60,1)*60,1)&amp;"""N"</f>
        <v>20°22'17.7"N</v>
      </c>
      <c r="P455" s="1" t="str">
        <f>INT(L455)&amp;"°"&amp;INT(MOD(L455,1)*60)&amp;"'"&amp;
ROUND(MOD(MOD(L455,1)*60,1)*60,1)&amp;"""E"</f>
        <v>106°32'29.7"E</v>
      </c>
      <c r="Q455" s="1" t="str">
        <f>O455 &amp; " " &amp; P455</f>
        <v>20°22'17.7"N 106°32'29.7"E</v>
      </c>
    </row>
    <row r="456" spans="1:17" ht="15.75" customHeight="1" x14ac:dyDescent="0.2">
      <c r="A456" s="1">
        <v>448</v>
      </c>
      <c r="B456" s="1" t="s">
        <v>1636</v>
      </c>
      <c r="C456" s="1" t="s">
        <v>15</v>
      </c>
      <c r="D456" s="1" t="s">
        <v>16</v>
      </c>
      <c r="E456" s="1" t="s">
        <v>1611</v>
      </c>
      <c r="F456" s="1" t="s">
        <v>1612</v>
      </c>
      <c r="G456" s="1" t="s">
        <v>1637</v>
      </c>
      <c r="H456" s="1" t="s">
        <v>1638</v>
      </c>
      <c r="I456" s="1" t="s">
        <v>21</v>
      </c>
      <c r="J456" s="1" t="s">
        <v>22</v>
      </c>
      <c r="K456" s="2">
        <v>20.374552569999999</v>
      </c>
      <c r="L456" s="2">
        <v>106.09586383</v>
      </c>
      <c r="M456" s="1" t="s">
        <v>1639</v>
      </c>
      <c r="N456" s="1" t="s">
        <v>844</v>
      </c>
      <c r="O456" s="1" t="str">
        <f>INT(K456)&amp;"°"&amp;INT(MOD(K456,1)*60)&amp;"'"&amp;
ROUND(MOD(MOD(K456,1)*60,1)*60,1)&amp;"""N"</f>
        <v>20°22'28.4"N</v>
      </c>
      <c r="P456" s="1" t="str">
        <f>INT(L456)&amp;"°"&amp;INT(MOD(L456,1)*60)&amp;"'"&amp;
ROUND(MOD(MOD(L456,1)*60,1)*60,1)&amp;"""E"</f>
        <v>106°5'45.1"E</v>
      </c>
      <c r="Q456" s="1" t="str">
        <f>O456 &amp; " " &amp; P456</f>
        <v>20°22'28.4"N 106°5'45.1"E</v>
      </c>
    </row>
    <row r="457" spans="1:17" ht="15.75" customHeight="1" x14ac:dyDescent="0.2">
      <c r="A457" s="1">
        <v>607</v>
      </c>
      <c r="B457" s="1" t="s">
        <v>2197</v>
      </c>
      <c r="C457" s="1" t="s">
        <v>15</v>
      </c>
      <c r="D457" s="1" t="s">
        <v>16</v>
      </c>
      <c r="E457" s="1" t="s">
        <v>2190</v>
      </c>
      <c r="F457" s="1" t="s">
        <v>2191</v>
      </c>
      <c r="G457" s="1" t="s">
        <v>2198</v>
      </c>
      <c r="H457" s="1" t="s">
        <v>2199</v>
      </c>
      <c r="I457" s="1" t="s">
        <v>21</v>
      </c>
      <c r="J457" s="1" t="s">
        <v>22</v>
      </c>
      <c r="K457" s="2">
        <v>20.39801237</v>
      </c>
      <c r="L457" s="2">
        <v>106.42896842</v>
      </c>
      <c r="M457" s="1" t="s">
        <v>2198</v>
      </c>
      <c r="N457" s="1" t="s">
        <v>1261</v>
      </c>
      <c r="O457" s="1" t="str">
        <f>INT(K457)&amp;"°"&amp;INT(MOD(K457,1)*60)&amp;"'"&amp;
ROUND(MOD(MOD(K457,1)*60,1)*60,1)&amp;"""N"</f>
        <v>20°23'52.8"N</v>
      </c>
      <c r="P457" s="1" t="str">
        <f>INT(L457)&amp;"°"&amp;INT(MOD(L457,1)*60)&amp;"'"&amp;
ROUND(MOD(MOD(L457,1)*60,1)*60,1)&amp;"""E"</f>
        <v>106°25'44.3"E</v>
      </c>
      <c r="Q457" s="1" t="str">
        <f>O457 &amp; " " &amp; P457</f>
        <v>20°23'52.8"N 106°25'44.3"E</v>
      </c>
    </row>
    <row r="458" spans="1:17" ht="15.75" customHeight="1" x14ac:dyDescent="0.2">
      <c r="A458" s="1">
        <v>342</v>
      </c>
      <c r="B458" s="1" t="s">
        <v>1255</v>
      </c>
      <c r="C458" s="1" t="s">
        <v>15</v>
      </c>
      <c r="D458" s="1" t="s">
        <v>16</v>
      </c>
      <c r="E458" s="1" t="s">
        <v>1223</v>
      </c>
      <c r="F458" s="1" t="s">
        <v>177</v>
      </c>
      <c r="G458" s="1" t="s">
        <v>1256</v>
      </c>
      <c r="H458" s="1" t="s">
        <v>1257</v>
      </c>
      <c r="I458" s="1" t="s">
        <v>21</v>
      </c>
      <c r="J458" s="1" t="s">
        <v>22</v>
      </c>
      <c r="K458" s="2">
        <v>20.42191644</v>
      </c>
      <c r="L458" s="2">
        <v>105.62691857</v>
      </c>
      <c r="M458" s="1" t="s">
        <v>1258</v>
      </c>
      <c r="N458" s="1" t="s">
        <v>1225</v>
      </c>
      <c r="O458" s="1" t="str">
        <f>INT(K458)&amp;"°"&amp;INT(MOD(K458,1)*60)&amp;"'"&amp;
ROUND(MOD(MOD(K458,1)*60,1)*60,1)&amp;"""N"</f>
        <v>20°25'18.9"N</v>
      </c>
      <c r="P458" s="1" t="str">
        <f>INT(L458)&amp;"°"&amp;INT(MOD(L458,1)*60)&amp;"'"&amp;
ROUND(MOD(MOD(L458,1)*60,1)*60,1)&amp;"""E"</f>
        <v>105°37'36.9"E</v>
      </c>
      <c r="Q458" s="1" t="str">
        <f>O458 &amp; " " &amp; P458</f>
        <v>20°25'18.9"N 105°37'36.9"E</v>
      </c>
    </row>
    <row r="459" spans="1:17" ht="15.75" customHeight="1" x14ac:dyDescent="0.2">
      <c r="A459" s="1">
        <v>444</v>
      </c>
      <c r="B459" s="1" t="s">
        <v>1624</v>
      </c>
      <c r="C459" s="1" t="s">
        <v>15</v>
      </c>
      <c r="D459" s="1" t="s">
        <v>16</v>
      </c>
      <c r="E459" s="1" t="s">
        <v>1611</v>
      </c>
      <c r="F459" s="1" t="s">
        <v>1612</v>
      </c>
      <c r="G459" s="1" t="s">
        <v>1612</v>
      </c>
      <c r="H459" s="1" t="s">
        <v>1625</v>
      </c>
      <c r="I459" s="1" t="s">
        <v>27</v>
      </c>
      <c r="J459" s="1" t="s">
        <v>28</v>
      </c>
      <c r="K459" s="2">
        <v>20.423720849999999</v>
      </c>
      <c r="L459" s="2">
        <v>106.16942279</v>
      </c>
      <c r="M459" s="1" t="s">
        <v>1612</v>
      </c>
      <c r="N459" s="1" t="s">
        <v>844</v>
      </c>
      <c r="O459" s="1" t="str">
        <f>INT(K459)&amp;"°"&amp;INT(MOD(K459,1)*60)&amp;"'"&amp;
ROUND(MOD(MOD(K459,1)*60,1)*60,1)&amp;"""N"</f>
        <v>20°25'25.4"N</v>
      </c>
      <c r="P459" s="1" t="str">
        <f>INT(L459)&amp;"°"&amp;INT(MOD(L459,1)*60)&amp;"'"&amp;
ROUND(MOD(MOD(L459,1)*60,1)*60,1)&amp;"""E"</f>
        <v>106°10'9.9"E</v>
      </c>
      <c r="Q459" s="1" t="str">
        <f>O459 &amp; " " &amp; P459</f>
        <v>20°25'25.4"N 106°10'9.9"E</v>
      </c>
    </row>
    <row r="460" spans="1:17" ht="15.75" customHeight="1" x14ac:dyDescent="0.2">
      <c r="A460" s="1">
        <v>612</v>
      </c>
      <c r="B460" s="1" t="s">
        <v>2213</v>
      </c>
      <c r="C460" s="1" t="s">
        <v>15</v>
      </c>
      <c r="D460" s="1" t="s">
        <v>16</v>
      </c>
      <c r="E460" s="1" t="s">
        <v>2190</v>
      </c>
      <c r="F460" s="1" t="s">
        <v>2191</v>
      </c>
      <c r="G460" s="1" t="s">
        <v>2214</v>
      </c>
      <c r="H460" s="1" t="s">
        <v>2215</v>
      </c>
      <c r="I460" s="1" t="s">
        <v>21</v>
      </c>
      <c r="J460" s="1" t="s">
        <v>22</v>
      </c>
      <c r="K460" s="2">
        <v>20.434323490000001</v>
      </c>
      <c r="L460" s="2">
        <v>106.276944</v>
      </c>
      <c r="M460" s="1" t="s">
        <v>2214</v>
      </c>
      <c r="N460" s="1" t="s">
        <v>1261</v>
      </c>
      <c r="O460" s="1" t="str">
        <f>INT(K460)&amp;"°"&amp;INT(MOD(K460,1)*60)&amp;"'"&amp;
ROUND(MOD(MOD(K460,1)*60,1)*60,1)&amp;"""N"</f>
        <v>20°26'3.6"N</v>
      </c>
      <c r="P460" s="1" t="str">
        <f>INT(L460)&amp;"°"&amp;INT(MOD(L460,1)*60)&amp;"'"&amp;
ROUND(MOD(MOD(L460,1)*60,1)*60,1)&amp;"""E"</f>
        <v>106°16'37"E</v>
      </c>
      <c r="Q460" s="1" t="str">
        <f>O460 &amp; " " &amp; P460</f>
        <v>20°26'3.6"N 106°16'37"E</v>
      </c>
    </row>
    <row r="461" spans="1:17" ht="15.75" customHeight="1" x14ac:dyDescent="0.2">
      <c r="A461" s="1">
        <v>229</v>
      </c>
      <c r="B461" s="1" t="s">
        <v>859</v>
      </c>
      <c r="C461" s="1" t="s">
        <v>15</v>
      </c>
      <c r="D461" s="1" t="s">
        <v>16</v>
      </c>
      <c r="E461" s="1" t="s">
        <v>839</v>
      </c>
      <c r="F461" s="1" t="s">
        <v>840</v>
      </c>
      <c r="G461" s="1" t="s">
        <v>860</v>
      </c>
      <c r="H461" s="1" t="s">
        <v>861</v>
      </c>
      <c r="I461" s="1" t="s">
        <v>21</v>
      </c>
      <c r="J461" s="1" t="s">
        <v>22</v>
      </c>
      <c r="K461" s="2">
        <v>20.45386719</v>
      </c>
      <c r="L461" s="2">
        <v>105.91948585</v>
      </c>
      <c r="M461" s="1" t="s">
        <v>860</v>
      </c>
      <c r="N461" s="1" t="s">
        <v>844</v>
      </c>
      <c r="O461" s="1" t="str">
        <f>INT(K461)&amp;"°"&amp;INT(MOD(K461,1)*60)&amp;"'"&amp;
ROUND(MOD(MOD(K461,1)*60,1)*60,1)&amp;"""N"</f>
        <v>20°27'13.9"N</v>
      </c>
      <c r="P461" s="1" t="str">
        <f>INT(L461)&amp;"°"&amp;INT(MOD(L461,1)*60)&amp;"'"&amp;
ROUND(MOD(MOD(L461,1)*60,1)*60,1)&amp;"""E"</f>
        <v>105°55'10.1"E</v>
      </c>
      <c r="Q461" s="1" t="str">
        <f>O461 &amp; " " &amp; P461</f>
        <v>20°27'13.9"N 105°55'10.1"E</v>
      </c>
    </row>
    <row r="462" spans="1:17" ht="15.75" customHeight="1" x14ac:dyDescent="0.2">
      <c r="A462" s="1">
        <v>609</v>
      </c>
      <c r="B462" s="1" t="s">
        <v>2203</v>
      </c>
      <c r="C462" s="1" t="s">
        <v>15</v>
      </c>
      <c r="D462" s="1" t="s">
        <v>16</v>
      </c>
      <c r="E462" s="1" t="s">
        <v>2190</v>
      </c>
      <c r="F462" s="1" t="s">
        <v>2191</v>
      </c>
      <c r="G462" s="1" t="s">
        <v>2191</v>
      </c>
      <c r="H462" s="1" t="s">
        <v>2204</v>
      </c>
      <c r="I462" s="1" t="s">
        <v>27</v>
      </c>
      <c r="J462" s="1" t="s">
        <v>28</v>
      </c>
      <c r="K462" s="2">
        <v>20.454159659999998</v>
      </c>
      <c r="L462" s="2">
        <v>106.34730097000001</v>
      </c>
      <c r="M462" s="1" t="s">
        <v>2191</v>
      </c>
      <c r="N462" s="1" t="s">
        <v>1261</v>
      </c>
      <c r="O462" s="1" t="str">
        <f>INT(K462)&amp;"°"&amp;INT(MOD(K462,1)*60)&amp;"'"&amp;
ROUND(MOD(MOD(K462,1)*60,1)*60,1)&amp;"""N"</f>
        <v>20°27'15"N</v>
      </c>
      <c r="P462" s="1" t="str">
        <f>INT(L462)&amp;"°"&amp;INT(MOD(L462,1)*60)&amp;"'"&amp;
ROUND(MOD(MOD(L462,1)*60,1)*60,1)&amp;"""E"</f>
        <v>106°20'50.3"E</v>
      </c>
      <c r="Q462" s="1" t="str">
        <f>O462 &amp; " " &amp; P462</f>
        <v>20°27'15"N 106°20'50.3"E</v>
      </c>
    </row>
    <row r="463" spans="1:17" ht="15.75" customHeight="1" x14ac:dyDescent="0.2">
      <c r="A463" s="1">
        <v>443</v>
      </c>
      <c r="B463" s="1" t="s">
        <v>1620</v>
      </c>
      <c r="C463" s="1" t="s">
        <v>15</v>
      </c>
      <c r="D463" s="1" t="s">
        <v>16</v>
      </c>
      <c r="E463" s="1" t="s">
        <v>1611</v>
      </c>
      <c r="F463" s="1" t="s">
        <v>1612</v>
      </c>
      <c r="G463" s="1" t="s">
        <v>1621</v>
      </c>
      <c r="H463" s="1" t="s">
        <v>1622</v>
      </c>
      <c r="I463" s="1" t="s">
        <v>21</v>
      </c>
      <c r="J463" s="1" t="s">
        <v>22</v>
      </c>
      <c r="K463" s="2">
        <v>20.456890250000001</v>
      </c>
      <c r="L463" s="2">
        <v>106.13477678</v>
      </c>
      <c r="M463" s="1" t="s">
        <v>1623</v>
      </c>
      <c r="N463" s="1" t="s">
        <v>844</v>
      </c>
      <c r="O463" s="1" t="str">
        <f>INT(K463)&amp;"°"&amp;INT(MOD(K463,1)*60)&amp;"'"&amp;
ROUND(MOD(MOD(K463,1)*60,1)*60,1)&amp;"""N"</f>
        <v>20°27'24.8"N</v>
      </c>
      <c r="P463" s="1" t="str">
        <f>INT(L463)&amp;"°"&amp;INT(MOD(L463,1)*60)&amp;"'"&amp;
ROUND(MOD(MOD(L463,1)*60,1)*60,1)&amp;"""E"</f>
        <v>106°8'5.2"E</v>
      </c>
      <c r="Q463" s="1" t="str">
        <f>O463 &amp; " " &amp; P463</f>
        <v>20°27'24.8"N 106°8'5.2"E</v>
      </c>
    </row>
    <row r="464" spans="1:17" ht="15.75" customHeight="1" x14ac:dyDescent="0.2">
      <c r="A464" s="1">
        <v>636</v>
      </c>
      <c r="B464" s="1" t="s">
        <v>2300</v>
      </c>
      <c r="C464" s="1" t="s">
        <v>15</v>
      </c>
      <c r="D464" s="1" t="s">
        <v>16</v>
      </c>
      <c r="E464" s="1" t="s">
        <v>2248</v>
      </c>
      <c r="F464" s="1" t="s">
        <v>2249</v>
      </c>
      <c r="G464" s="1" t="s">
        <v>2301</v>
      </c>
      <c r="H464" s="1" t="s">
        <v>2302</v>
      </c>
      <c r="I464" s="1" t="s">
        <v>21</v>
      </c>
      <c r="J464" s="1" t="s">
        <v>22</v>
      </c>
      <c r="K464" s="2">
        <v>20.465509749999999</v>
      </c>
      <c r="L464" s="2">
        <v>104.94671784000001</v>
      </c>
      <c r="M464" s="1" t="s">
        <v>2303</v>
      </c>
      <c r="N464" s="1" t="s">
        <v>2249</v>
      </c>
      <c r="O464" s="1" t="str">
        <f>INT(K464)&amp;"°"&amp;INT(MOD(K464,1)*60)&amp;"'"&amp;
ROUND(MOD(MOD(K464,1)*60,1)*60,1)&amp;"""N"</f>
        <v>20°27'55.8"N</v>
      </c>
      <c r="P464" s="1" t="str">
        <f>INT(L464)&amp;"°"&amp;INT(MOD(L464,1)*60)&amp;"'"&amp;
ROUND(MOD(MOD(L464,1)*60,1)*60,1)&amp;"""E"</f>
        <v>104°56'48.2"E</v>
      </c>
      <c r="Q464" s="1" t="str">
        <f>O464 &amp; " " &amp; P464</f>
        <v>20°27'55.8"N 104°56'48.2"E</v>
      </c>
    </row>
    <row r="465" spans="1:17" ht="15.75" customHeight="1" x14ac:dyDescent="0.2">
      <c r="A465" s="1">
        <v>337</v>
      </c>
      <c r="B465" s="1" t="s">
        <v>1238</v>
      </c>
      <c r="C465" s="1" t="s">
        <v>15</v>
      </c>
      <c r="D465" s="1" t="s">
        <v>16</v>
      </c>
      <c r="E465" s="1" t="s">
        <v>1223</v>
      </c>
      <c r="F465" s="1" t="s">
        <v>177</v>
      </c>
      <c r="G465" s="1" t="s">
        <v>1239</v>
      </c>
      <c r="H465" s="1" t="s">
        <v>1240</v>
      </c>
      <c r="I465" s="1" t="s">
        <v>21</v>
      </c>
      <c r="J465" s="1" t="s">
        <v>22</v>
      </c>
      <c r="K465" s="2">
        <v>20.483461420000001</v>
      </c>
      <c r="L465" s="2">
        <v>105.44105476999999</v>
      </c>
      <c r="M465" s="1" t="s">
        <v>1241</v>
      </c>
      <c r="N465" s="1" t="s">
        <v>1225</v>
      </c>
      <c r="O465" s="1" t="str">
        <f>INT(K465)&amp;"°"&amp;INT(MOD(K465,1)*60)&amp;"'"&amp;
ROUND(MOD(MOD(K465,1)*60,1)*60,1)&amp;"""N"</f>
        <v>20°29'0.5"N</v>
      </c>
      <c r="P465" s="1" t="str">
        <f>INT(L465)&amp;"°"&amp;INT(MOD(L465,1)*60)&amp;"'"&amp;
ROUND(MOD(MOD(L465,1)*60,1)*60,1)&amp;"""E"</f>
        <v>105°26'27.8"E</v>
      </c>
      <c r="Q465" s="1" t="str">
        <f>O465 &amp; " " &amp; P465</f>
        <v>20°29'0.5"N 105°26'27.8"E</v>
      </c>
    </row>
    <row r="466" spans="1:17" ht="15.75" customHeight="1" x14ac:dyDescent="0.2">
      <c r="A466" s="1">
        <v>224</v>
      </c>
      <c r="B466" s="1" t="s">
        <v>838</v>
      </c>
      <c r="C466" s="1" t="s">
        <v>15</v>
      </c>
      <c r="D466" s="1" t="s">
        <v>16</v>
      </c>
      <c r="E466" s="1" t="s">
        <v>839</v>
      </c>
      <c r="F466" s="1" t="s">
        <v>840</v>
      </c>
      <c r="G466" s="1" t="s">
        <v>841</v>
      </c>
      <c r="H466" s="1" t="s">
        <v>842</v>
      </c>
      <c r="I466" s="1" t="s">
        <v>21</v>
      </c>
      <c r="J466" s="1" t="s">
        <v>22</v>
      </c>
      <c r="K466" s="2">
        <v>20.49181596</v>
      </c>
      <c r="L466" s="2">
        <v>106.03766638</v>
      </c>
      <c r="M466" s="1" t="s">
        <v>843</v>
      </c>
      <c r="N466" s="1" t="s">
        <v>844</v>
      </c>
      <c r="O466" s="1" t="str">
        <f>INT(K466)&amp;"°"&amp;INT(MOD(K466,1)*60)&amp;"'"&amp;
ROUND(MOD(MOD(K466,1)*60,1)*60,1)&amp;"""N"</f>
        <v>20°29'30.5"N</v>
      </c>
      <c r="P466" s="1" t="str">
        <f>INT(L466)&amp;"°"&amp;INT(MOD(L466,1)*60)&amp;"'"&amp;
ROUND(MOD(MOD(L466,1)*60,1)*60,1)&amp;"""E"</f>
        <v>106°2'15.6"E</v>
      </c>
      <c r="Q466" s="1" t="str">
        <f>O466 &amp; " " &amp; P466</f>
        <v>20°29'30.5"N 106°2'15.6"E</v>
      </c>
    </row>
    <row r="467" spans="1:17" ht="15.75" customHeight="1" x14ac:dyDescent="0.2">
      <c r="A467" s="1">
        <v>338</v>
      </c>
      <c r="B467" s="1" t="s">
        <v>1242</v>
      </c>
      <c r="C467" s="1" t="s">
        <v>15</v>
      </c>
      <c r="D467" s="1" t="s">
        <v>16</v>
      </c>
      <c r="E467" s="1" t="s">
        <v>1223</v>
      </c>
      <c r="F467" s="1" t="s">
        <v>177</v>
      </c>
      <c r="G467" s="1" t="s">
        <v>1243</v>
      </c>
      <c r="H467" s="1" t="s">
        <v>1244</v>
      </c>
      <c r="I467" s="1" t="s">
        <v>21</v>
      </c>
      <c r="J467" s="1" t="s">
        <v>22</v>
      </c>
      <c r="K467" s="2">
        <v>20.503499349999998</v>
      </c>
      <c r="L467" s="2">
        <v>105.73323919000001</v>
      </c>
      <c r="M467" s="1" t="s">
        <v>769</v>
      </c>
      <c r="N467" s="1" t="s">
        <v>1225</v>
      </c>
      <c r="O467" s="1" t="str">
        <f>INT(K467)&amp;"°"&amp;INT(MOD(K467,1)*60)&amp;"'"&amp;
ROUND(MOD(MOD(K467,1)*60,1)*60,1)&amp;"""N"</f>
        <v>20°30'12.6"N</v>
      </c>
      <c r="P467" s="1" t="str">
        <f>INT(L467)&amp;"°"&amp;INT(MOD(L467,1)*60)&amp;"'"&amp;
ROUND(MOD(MOD(L467,1)*60,1)*60,1)&amp;"""E"</f>
        <v>105°43'59.7"E</v>
      </c>
      <c r="Q467" s="1" t="str">
        <f>O467 &amp; " " &amp; P467</f>
        <v>20°30'12.6"N 105°43'59.7"E</v>
      </c>
    </row>
    <row r="468" spans="1:17" ht="15.75" customHeight="1" x14ac:dyDescent="0.2">
      <c r="A468" s="1">
        <v>630</v>
      </c>
      <c r="B468" s="1" t="s">
        <v>2278</v>
      </c>
      <c r="C468" s="1" t="s">
        <v>15</v>
      </c>
      <c r="D468" s="1" t="s">
        <v>16</v>
      </c>
      <c r="E468" s="1" t="s">
        <v>2248</v>
      </c>
      <c r="F468" s="1" t="s">
        <v>2249</v>
      </c>
      <c r="G468" s="1" t="s">
        <v>2279</v>
      </c>
      <c r="H468" s="1" t="s">
        <v>2280</v>
      </c>
      <c r="I468" s="1" t="s">
        <v>21</v>
      </c>
      <c r="J468" s="1" t="s">
        <v>22</v>
      </c>
      <c r="K468" s="2">
        <v>20.503892260000001</v>
      </c>
      <c r="L468" s="2">
        <v>104.62207026999999</v>
      </c>
      <c r="M468" s="1" t="s">
        <v>2281</v>
      </c>
      <c r="N468" s="1" t="s">
        <v>2249</v>
      </c>
      <c r="O468" s="1" t="str">
        <f>INT(K468)&amp;"°"&amp;INT(MOD(K468,1)*60)&amp;"'"&amp;
ROUND(MOD(MOD(K468,1)*60,1)*60,1)&amp;"""N"</f>
        <v>20°30'14"N</v>
      </c>
      <c r="P468" s="1" t="str">
        <f>INT(L468)&amp;"°"&amp;INT(MOD(L468,1)*60)&amp;"'"&amp;
ROUND(MOD(MOD(L468,1)*60,1)*60,1)&amp;"""E"</f>
        <v>104°37'19.5"E</v>
      </c>
      <c r="Q468" s="1" t="str">
        <f>O468 &amp; " " &amp; P468</f>
        <v>20°30'14"N 104°37'19.5"E</v>
      </c>
    </row>
    <row r="469" spans="1:17" ht="15.75" customHeight="1" x14ac:dyDescent="0.2">
      <c r="A469" s="1">
        <v>605</v>
      </c>
      <c r="B469" s="1" t="s">
        <v>2189</v>
      </c>
      <c r="C469" s="1" t="s">
        <v>15</v>
      </c>
      <c r="D469" s="1" t="s">
        <v>16</v>
      </c>
      <c r="E469" s="1" t="s">
        <v>2190</v>
      </c>
      <c r="F469" s="1" t="s">
        <v>2191</v>
      </c>
      <c r="G469" s="1" t="s">
        <v>2192</v>
      </c>
      <c r="H469" s="1" t="s">
        <v>2193</v>
      </c>
      <c r="I469" s="1" t="s">
        <v>21</v>
      </c>
      <c r="J469" s="1" t="s">
        <v>22</v>
      </c>
      <c r="K469" s="2">
        <v>20.543550249999999</v>
      </c>
      <c r="L469" s="2">
        <v>106.34887186</v>
      </c>
      <c r="M469" s="1" t="s">
        <v>2192</v>
      </c>
      <c r="N469" s="1" t="s">
        <v>1261</v>
      </c>
      <c r="O469" s="1" t="str">
        <f>INT(K469)&amp;"°"&amp;INT(MOD(K469,1)*60)&amp;"'"&amp;
ROUND(MOD(MOD(K469,1)*60,1)*60,1)&amp;"""N"</f>
        <v>20°32'36.8"N</v>
      </c>
      <c r="P469" s="1" t="str">
        <f>INT(L469)&amp;"°"&amp;INT(MOD(L469,1)*60)&amp;"'"&amp;
ROUND(MOD(MOD(L469,1)*60,1)*60,1)&amp;"""E"</f>
        <v>106°20'55.9"E</v>
      </c>
      <c r="Q469" s="1" t="str">
        <f>O469 &amp; " " &amp; P469</f>
        <v>20°32'36.8"N 106°20'55.9"E</v>
      </c>
    </row>
    <row r="470" spans="1:17" ht="15.75" customHeight="1" x14ac:dyDescent="0.2">
      <c r="A470" s="1">
        <v>610</v>
      </c>
      <c r="B470" s="1" t="s">
        <v>2205</v>
      </c>
      <c r="C470" s="1" t="s">
        <v>15</v>
      </c>
      <c r="D470" s="1" t="s">
        <v>16</v>
      </c>
      <c r="E470" s="1" t="s">
        <v>2190</v>
      </c>
      <c r="F470" s="1" t="s">
        <v>2191</v>
      </c>
      <c r="G470" s="1" t="s">
        <v>2206</v>
      </c>
      <c r="H470" s="1" t="s">
        <v>2207</v>
      </c>
      <c r="I470" s="1" t="s">
        <v>21</v>
      </c>
      <c r="J470" s="1" t="s">
        <v>22</v>
      </c>
      <c r="K470" s="2">
        <v>20.54507164</v>
      </c>
      <c r="L470" s="2">
        <v>106.53032890999999</v>
      </c>
      <c r="M470" s="1" t="s">
        <v>2208</v>
      </c>
      <c r="N470" s="1" t="s">
        <v>1261</v>
      </c>
      <c r="O470" s="1" t="str">
        <f>INT(K470)&amp;"°"&amp;INT(MOD(K470,1)*60)&amp;"'"&amp;
ROUND(MOD(MOD(K470,1)*60,1)*60,1)&amp;"""N"</f>
        <v>20°32'42.3"N</v>
      </c>
      <c r="P470" s="1" t="str">
        <f>INT(L470)&amp;"°"&amp;INT(MOD(L470,1)*60)&amp;"'"&amp;
ROUND(MOD(MOD(L470,1)*60,1)*60,1)&amp;"""E"</f>
        <v>106°31'49.2"E</v>
      </c>
      <c r="Q470" s="1" t="str">
        <f>O470 &amp; " " &amp; P470</f>
        <v>20°32'42.3"N 106°31'49.2"E</v>
      </c>
    </row>
    <row r="471" spans="1:17" ht="15.75" customHeight="1" x14ac:dyDescent="0.2">
      <c r="A471" s="1">
        <v>228</v>
      </c>
      <c r="B471" s="1" t="s">
        <v>856</v>
      </c>
      <c r="C471" s="1" t="s">
        <v>15</v>
      </c>
      <c r="D471" s="1" t="s">
        <v>16</v>
      </c>
      <c r="E471" s="1" t="s">
        <v>839</v>
      </c>
      <c r="F471" s="1" t="s">
        <v>840</v>
      </c>
      <c r="G471" s="1" t="s">
        <v>857</v>
      </c>
      <c r="H471" s="1" t="s">
        <v>858</v>
      </c>
      <c r="I471" s="1" t="s">
        <v>27</v>
      </c>
      <c r="J471" s="1" t="s">
        <v>28</v>
      </c>
      <c r="K471" s="2">
        <v>20.545863950000001</v>
      </c>
      <c r="L471" s="2">
        <v>105.93248151</v>
      </c>
      <c r="M471" s="1" t="s">
        <v>840</v>
      </c>
      <c r="N471" s="1" t="s">
        <v>844</v>
      </c>
      <c r="O471" s="1" t="str">
        <f>INT(K471)&amp;"°"&amp;INT(MOD(K471,1)*60)&amp;"'"&amp;
ROUND(MOD(MOD(K471,1)*60,1)*60,1)&amp;"""N"</f>
        <v>20°32'45.1"N</v>
      </c>
      <c r="P471" s="1" t="str">
        <f>INT(L471)&amp;"°"&amp;INT(MOD(L471,1)*60)&amp;"'"&amp;
ROUND(MOD(MOD(L471,1)*60,1)*60,1)&amp;"""E"</f>
        <v>105°55'56.9"E</v>
      </c>
      <c r="Q471" s="1" t="str">
        <f>O471 &amp; " " &amp; P471</f>
        <v>20°32'45.1"N 105°55'56.9"E</v>
      </c>
    </row>
    <row r="472" spans="1:17" ht="15.75" customHeight="1" x14ac:dyDescent="0.2">
      <c r="A472" s="1">
        <v>227</v>
      </c>
      <c r="B472" s="1" t="s">
        <v>852</v>
      </c>
      <c r="C472" s="1" t="s">
        <v>15</v>
      </c>
      <c r="D472" s="1" t="s">
        <v>16</v>
      </c>
      <c r="E472" s="1" t="s">
        <v>839</v>
      </c>
      <c r="F472" s="1" t="s">
        <v>840</v>
      </c>
      <c r="G472" s="1" t="s">
        <v>853</v>
      </c>
      <c r="H472" s="1" t="s">
        <v>854</v>
      </c>
      <c r="I472" s="1" t="s">
        <v>21</v>
      </c>
      <c r="J472" s="1" t="s">
        <v>22</v>
      </c>
      <c r="K472" s="2">
        <v>20.55874807</v>
      </c>
      <c r="L472" s="2">
        <v>106.09152544</v>
      </c>
      <c r="M472" s="1" t="s">
        <v>855</v>
      </c>
      <c r="N472" s="1" t="s">
        <v>844</v>
      </c>
      <c r="O472" s="1" t="str">
        <f>INT(K472)&amp;"°"&amp;INT(MOD(K472,1)*60)&amp;"'"&amp;
ROUND(MOD(MOD(K472,1)*60,1)*60,1)&amp;"""N"</f>
        <v>20°33'31.5"N</v>
      </c>
      <c r="P472" s="1" t="str">
        <f>INT(L472)&amp;"°"&amp;INT(MOD(L472,1)*60)&amp;"'"&amp;
ROUND(MOD(MOD(L472,1)*60,1)*60,1)&amp;"""E"</f>
        <v>106°5'29.5"E</v>
      </c>
      <c r="Q472" s="1" t="str">
        <f>O472 &amp; " " &amp; P472</f>
        <v>20°33'31.5"N 106°5'29.5"E</v>
      </c>
    </row>
    <row r="473" spans="1:17" ht="15.75" customHeight="1" x14ac:dyDescent="0.2">
      <c r="A473" s="1">
        <v>226</v>
      </c>
      <c r="B473" s="1" t="s">
        <v>848</v>
      </c>
      <c r="C473" s="1" t="s">
        <v>15</v>
      </c>
      <c r="D473" s="1" t="s">
        <v>16</v>
      </c>
      <c r="E473" s="1" t="s">
        <v>839</v>
      </c>
      <c r="F473" s="1" t="s">
        <v>840</v>
      </c>
      <c r="G473" s="1" t="s">
        <v>849</v>
      </c>
      <c r="H473" s="1" t="s">
        <v>850</v>
      </c>
      <c r="I473" s="1" t="s">
        <v>21</v>
      </c>
      <c r="J473" s="1" t="s">
        <v>22</v>
      </c>
      <c r="K473" s="2">
        <v>20.573120100000001</v>
      </c>
      <c r="L473" s="2">
        <v>105.8468587</v>
      </c>
      <c r="M473" s="1" t="s">
        <v>851</v>
      </c>
      <c r="N473" s="1" t="s">
        <v>844</v>
      </c>
      <c r="O473" s="1" t="str">
        <f>INT(K473)&amp;"°"&amp;INT(MOD(K473,1)*60)&amp;"'"&amp;
ROUND(MOD(MOD(K473,1)*60,1)*60,1)&amp;"""N"</f>
        <v>20°34'23.2"N</v>
      </c>
      <c r="P473" s="1" t="str">
        <f>INT(L473)&amp;"°"&amp;INT(MOD(L473,1)*60)&amp;"'"&amp;
ROUND(MOD(MOD(L473,1)*60,1)*60,1)&amp;"""E"</f>
        <v>105°50'48.7"E</v>
      </c>
      <c r="Q473" s="1" t="str">
        <f>O473 &amp; " " &amp; P473</f>
        <v>20°34'23.2"N 105°50'48.7"E</v>
      </c>
    </row>
    <row r="474" spans="1:17" ht="15.75" customHeight="1" x14ac:dyDescent="0.2">
      <c r="A474" s="1">
        <v>606</v>
      </c>
      <c r="B474" s="1" t="s">
        <v>2194</v>
      </c>
      <c r="C474" s="1" t="s">
        <v>15</v>
      </c>
      <c r="D474" s="1" t="s">
        <v>16</v>
      </c>
      <c r="E474" s="1" t="s">
        <v>2190</v>
      </c>
      <c r="F474" s="1" t="s">
        <v>2191</v>
      </c>
      <c r="G474" s="1" t="s">
        <v>2195</v>
      </c>
      <c r="H474" s="1" t="s">
        <v>2196</v>
      </c>
      <c r="I474" s="1" t="s">
        <v>21</v>
      </c>
      <c r="J474" s="1" t="s">
        <v>22</v>
      </c>
      <c r="K474" s="2">
        <v>20.597831509999999</v>
      </c>
      <c r="L474" s="2">
        <v>106.20952622999999</v>
      </c>
      <c r="M474" s="1" t="s">
        <v>2195</v>
      </c>
      <c r="N474" s="1" t="s">
        <v>1261</v>
      </c>
      <c r="O474" s="1" t="str">
        <f>INT(K474)&amp;"°"&amp;INT(MOD(K474,1)*60)&amp;"'"&amp;
ROUND(MOD(MOD(K474,1)*60,1)*60,1)&amp;"""N"</f>
        <v>20°35'52.2"N</v>
      </c>
      <c r="P474" s="1" t="str">
        <f>INT(L474)&amp;"°"&amp;INT(MOD(L474,1)*60)&amp;"'"&amp;
ROUND(MOD(MOD(L474,1)*60,1)*60,1)&amp;"""E"</f>
        <v>106°12'34.3"E</v>
      </c>
      <c r="Q474" s="1" t="str">
        <f>O474 &amp; " " &amp; P474</f>
        <v>20°35'52.2"N 106°12'34.3"E</v>
      </c>
    </row>
    <row r="475" spans="1:17" ht="15.75" customHeight="1" x14ac:dyDescent="0.2">
      <c r="A475" s="1">
        <v>341</v>
      </c>
      <c r="B475" s="1" t="s">
        <v>1251</v>
      </c>
      <c r="C475" s="1" t="s">
        <v>15</v>
      </c>
      <c r="D475" s="1" t="s">
        <v>16</v>
      </c>
      <c r="E475" s="1" t="s">
        <v>1223</v>
      </c>
      <c r="F475" s="1" t="s">
        <v>177</v>
      </c>
      <c r="G475" s="1" t="s">
        <v>1252</v>
      </c>
      <c r="H475" s="1" t="s">
        <v>1253</v>
      </c>
      <c r="I475" s="1" t="s">
        <v>21</v>
      </c>
      <c r="J475" s="1" t="s">
        <v>22</v>
      </c>
      <c r="K475" s="2">
        <v>20.60545883</v>
      </c>
      <c r="L475" s="2">
        <v>105.23595579000001</v>
      </c>
      <c r="M475" s="1" t="s">
        <v>1254</v>
      </c>
      <c r="N475" s="1" t="s">
        <v>1225</v>
      </c>
      <c r="O475" s="1" t="str">
        <f>INT(K475)&amp;"°"&amp;INT(MOD(K475,1)*60)&amp;"'"&amp;
ROUND(MOD(MOD(K475,1)*60,1)*60,1)&amp;"""N"</f>
        <v>20°36'19.7"N</v>
      </c>
      <c r="P475" s="1" t="str">
        <f>INT(L475)&amp;"°"&amp;INT(MOD(L475,1)*60)&amp;"'"&amp;
ROUND(MOD(MOD(L475,1)*60,1)*60,1)&amp;"""E"</f>
        <v>105°14'9.4"E</v>
      </c>
      <c r="Q475" s="1" t="str">
        <f>O475 &amp; " " &amp; P475</f>
        <v>20°36'19.7"N 105°14'9.4"E</v>
      </c>
    </row>
    <row r="476" spans="1:17" ht="15.75" customHeight="1" x14ac:dyDescent="0.2">
      <c r="A476" s="1">
        <v>225</v>
      </c>
      <c r="B476" s="1" t="s">
        <v>845</v>
      </c>
      <c r="C476" s="1" t="s">
        <v>15</v>
      </c>
      <c r="D476" s="1" t="s">
        <v>16</v>
      </c>
      <c r="E476" s="1" t="s">
        <v>839</v>
      </c>
      <c r="F476" s="1" t="s">
        <v>840</v>
      </c>
      <c r="G476" s="1" t="s">
        <v>846</v>
      </c>
      <c r="H476" s="1" t="s">
        <v>847</v>
      </c>
      <c r="I476" s="1" t="s">
        <v>21</v>
      </c>
      <c r="J476" s="1" t="s">
        <v>22</v>
      </c>
      <c r="K476" s="2">
        <v>20.637627049999999</v>
      </c>
      <c r="L476" s="2">
        <v>105.97195677000001</v>
      </c>
      <c r="M476" s="1" t="s">
        <v>809</v>
      </c>
      <c r="N476" s="1" t="s">
        <v>844</v>
      </c>
      <c r="O476" s="1" t="str">
        <f>INT(K476)&amp;"°"&amp;INT(MOD(K476,1)*60)&amp;"'"&amp;
ROUND(MOD(MOD(K476,1)*60,1)*60,1)&amp;"""N"</f>
        <v>20°38'15.5"N</v>
      </c>
      <c r="P476" s="1" t="str">
        <f>INT(L476)&amp;"°"&amp;INT(MOD(L476,1)*60)&amp;"'"&amp;
ROUND(MOD(MOD(L476,1)*60,1)*60,1)&amp;"""E"</f>
        <v>105°58'19"E</v>
      </c>
      <c r="Q476" s="1" t="str">
        <f>O476 &amp; " " &amp; P476</f>
        <v>20°38'15.5"N 105°58'19"E</v>
      </c>
    </row>
    <row r="477" spans="1:17" ht="15.75" customHeight="1" x14ac:dyDescent="0.2">
      <c r="A477" s="1">
        <v>608</v>
      </c>
      <c r="B477" s="1" t="s">
        <v>2200</v>
      </c>
      <c r="C477" s="1" t="s">
        <v>15</v>
      </c>
      <c r="D477" s="1" t="s">
        <v>16</v>
      </c>
      <c r="E477" s="1" t="s">
        <v>2190</v>
      </c>
      <c r="F477" s="1" t="s">
        <v>2191</v>
      </c>
      <c r="G477" s="1" t="s">
        <v>2201</v>
      </c>
      <c r="H477" s="1" t="s">
        <v>2202</v>
      </c>
      <c r="I477" s="1" t="s">
        <v>21</v>
      </c>
      <c r="J477" s="1" t="s">
        <v>22</v>
      </c>
      <c r="K477" s="2">
        <v>20.649615480000001</v>
      </c>
      <c r="L477" s="2">
        <v>106.36338566000001</v>
      </c>
      <c r="M477" s="1" t="s">
        <v>2201</v>
      </c>
      <c r="N477" s="1" t="s">
        <v>1261</v>
      </c>
      <c r="O477" s="1" t="str">
        <f>INT(K477)&amp;"°"&amp;INT(MOD(K477,1)*60)&amp;"'"&amp;
ROUND(MOD(MOD(K477,1)*60,1)*60,1)&amp;"""N"</f>
        <v>20°38'58.6"N</v>
      </c>
      <c r="P477" s="1" t="str">
        <f>INT(L477)&amp;"°"&amp;INT(MOD(L477,1)*60)&amp;"'"&amp;
ROUND(MOD(MOD(L477,1)*60,1)*60,1)&amp;"""E"</f>
        <v>106°21'48.2"E</v>
      </c>
      <c r="Q477" s="1" t="str">
        <f>O477 &amp; " " &amp; P477</f>
        <v>20°38'58.6"N 106°21'48.2"E</v>
      </c>
    </row>
    <row r="478" spans="1:17" ht="15.75" customHeight="1" x14ac:dyDescent="0.2">
      <c r="A478" s="1">
        <v>344</v>
      </c>
      <c r="B478" s="1" t="s">
        <v>1264</v>
      </c>
      <c r="C478" s="1" t="s">
        <v>15</v>
      </c>
      <c r="D478" s="1" t="s">
        <v>16</v>
      </c>
      <c r="E478" s="1" t="s">
        <v>1260</v>
      </c>
      <c r="F478" s="1" t="s">
        <v>1261</v>
      </c>
      <c r="G478" s="1" t="s">
        <v>1261</v>
      </c>
      <c r="H478" s="1" t="s">
        <v>1265</v>
      </c>
      <c r="I478" s="1" t="s">
        <v>27</v>
      </c>
      <c r="J478" s="1" t="s">
        <v>28</v>
      </c>
      <c r="K478" s="2">
        <v>20.65770874</v>
      </c>
      <c r="L478" s="2">
        <v>106.06394441</v>
      </c>
      <c r="M478" s="1" t="s">
        <v>1266</v>
      </c>
      <c r="N478" s="1" t="s">
        <v>1261</v>
      </c>
      <c r="O478" s="1" t="str">
        <f>INT(K478)&amp;"°"&amp;INT(MOD(K478,1)*60)&amp;"'"&amp;
ROUND(MOD(MOD(K478,1)*60,1)*60,1)&amp;"""N"</f>
        <v>20°39'27.8"N</v>
      </c>
      <c r="P478" s="1" t="str">
        <f>INT(L478)&amp;"°"&amp;INT(MOD(L478,1)*60)&amp;"'"&amp;
ROUND(MOD(MOD(L478,1)*60,1)*60,1)&amp;"""E"</f>
        <v>106°3'50.2"E</v>
      </c>
      <c r="Q478" s="1" t="str">
        <f>O478 &amp; " " &amp; P478</f>
        <v>20°39'27.8"N 106°3'50.2"E</v>
      </c>
    </row>
    <row r="479" spans="1:17" ht="15.75" customHeight="1" x14ac:dyDescent="0.2">
      <c r="A479" s="1">
        <v>299</v>
      </c>
      <c r="B479" s="1" t="s">
        <v>1102</v>
      </c>
      <c r="C479" s="1" t="s">
        <v>15</v>
      </c>
      <c r="D479" s="1" t="s">
        <v>16</v>
      </c>
      <c r="E479" s="1" t="s">
        <v>1059</v>
      </c>
      <c r="F479" s="1" t="s">
        <v>1019</v>
      </c>
      <c r="G479" s="1" t="s">
        <v>1103</v>
      </c>
      <c r="H479" s="1" t="s">
        <v>1104</v>
      </c>
      <c r="I479" s="1" t="s">
        <v>21</v>
      </c>
      <c r="J479" s="1" t="s">
        <v>22</v>
      </c>
      <c r="K479" s="2">
        <v>20.674756689999999</v>
      </c>
      <c r="L479" s="2">
        <v>106.49403796999999</v>
      </c>
      <c r="M479" s="1" t="s">
        <v>1103</v>
      </c>
      <c r="N479" s="1" t="s">
        <v>1019</v>
      </c>
      <c r="O479" s="1" t="str">
        <f>INT(K479)&amp;"°"&amp;INT(MOD(K479,1)*60)&amp;"'"&amp;
ROUND(MOD(MOD(K479,1)*60,1)*60,1)&amp;"""N"</f>
        <v>20°40'29.1"N</v>
      </c>
      <c r="P479" s="1" t="str">
        <f>INT(L479)&amp;"°"&amp;INT(MOD(L479,1)*60)&amp;"'"&amp;
ROUND(MOD(MOD(L479,1)*60,1)*60,1)&amp;"""E"</f>
        <v>106°29'38.5"E</v>
      </c>
      <c r="Q479" s="1" t="str">
        <f>O479 &amp; " " &amp; P479</f>
        <v>20°40'29.1"N 106°29'38.5"E</v>
      </c>
    </row>
    <row r="480" spans="1:17" ht="15.75" customHeight="1" x14ac:dyDescent="0.2">
      <c r="A480" s="1">
        <v>335</v>
      </c>
      <c r="B480" s="1" t="s">
        <v>1232</v>
      </c>
      <c r="C480" s="1" t="s">
        <v>15</v>
      </c>
      <c r="D480" s="1" t="s">
        <v>16</v>
      </c>
      <c r="E480" s="1" t="s">
        <v>1223</v>
      </c>
      <c r="F480" s="1" t="s">
        <v>177</v>
      </c>
      <c r="G480" s="1" t="s">
        <v>1233</v>
      </c>
      <c r="H480" s="1" t="s">
        <v>1234</v>
      </c>
      <c r="I480" s="1" t="s">
        <v>21</v>
      </c>
      <c r="J480" s="1" t="s">
        <v>22</v>
      </c>
      <c r="K480" s="2">
        <v>20.678346789999999</v>
      </c>
      <c r="L480" s="2">
        <v>105.51645787</v>
      </c>
      <c r="M480" s="1" t="s">
        <v>1233</v>
      </c>
      <c r="N480" s="1" t="s">
        <v>1225</v>
      </c>
      <c r="O480" s="1" t="str">
        <f>INT(K480)&amp;"°"&amp;INT(MOD(K480,1)*60)&amp;"'"&amp;
ROUND(MOD(MOD(K480,1)*60,1)*60,1)&amp;"""N"</f>
        <v>20°40'42"N</v>
      </c>
      <c r="P480" s="1" t="str">
        <f>INT(L480)&amp;"°"&amp;INT(MOD(L480,1)*60)&amp;"'"&amp;
ROUND(MOD(MOD(L480,1)*60,1)*60,1)&amp;"""E"</f>
        <v>105°30'59.2"E</v>
      </c>
      <c r="Q480" s="1" t="str">
        <f>O480 &amp; " " &amp; P480</f>
        <v>20°40'42"N 105°30'59.2"E</v>
      </c>
    </row>
    <row r="481" spans="1:17" ht="15.75" customHeight="1" x14ac:dyDescent="0.2">
      <c r="A481" s="1">
        <v>349</v>
      </c>
      <c r="B481" s="1" t="s">
        <v>1281</v>
      </c>
      <c r="C481" s="1" t="s">
        <v>15</v>
      </c>
      <c r="D481" s="1" t="s">
        <v>16</v>
      </c>
      <c r="E481" s="1" t="s">
        <v>1260</v>
      </c>
      <c r="F481" s="1" t="s">
        <v>1261</v>
      </c>
      <c r="G481" s="1" t="s">
        <v>1282</v>
      </c>
      <c r="H481" s="1" t="s">
        <v>1283</v>
      </c>
      <c r="I481" s="1" t="s">
        <v>21</v>
      </c>
      <c r="J481" s="1" t="s">
        <v>22</v>
      </c>
      <c r="K481" s="2">
        <v>20.683361250000001</v>
      </c>
      <c r="L481" s="2">
        <v>106.13064977000001</v>
      </c>
      <c r="M481" s="1" t="s">
        <v>1282</v>
      </c>
      <c r="N481" s="1" t="s">
        <v>1261</v>
      </c>
      <c r="O481" s="1" t="str">
        <f>INT(K481)&amp;"°"&amp;INT(MOD(K481,1)*60)&amp;"'"&amp;
ROUND(MOD(MOD(K481,1)*60,1)*60,1)&amp;"""N"</f>
        <v>20°41'0.1"N</v>
      </c>
      <c r="P481" s="1" t="str">
        <f>INT(L481)&amp;"°"&amp;INT(MOD(L481,1)*60)&amp;"'"&amp;
ROUND(MOD(MOD(L481,1)*60,1)*60,1)&amp;"""E"</f>
        <v>106°7'50.3"E</v>
      </c>
      <c r="Q481" s="1" t="str">
        <f>O481 &amp; " " &amp; P481</f>
        <v>20°41'0.1"N 106°7'50.3"E</v>
      </c>
    </row>
    <row r="482" spans="1:17" ht="15.75" customHeight="1" x14ac:dyDescent="0.2">
      <c r="A482" s="1">
        <v>246</v>
      </c>
      <c r="B482" s="1" t="s">
        <v>919</v>
      </c>
      <c r="C482" s="1" t="s">
        <v>15</v>
      </c>
      <c r="D482" s="1" t="s">
        <v>16</v>
      </c>
      <c r="E482" s="1" t="s">
        <v>863</v>
      </c>
      <c r="F482" s="1" t="s">
        <v>864</v>
      </c>
      <c r="G482" s="1" t="s">
        <v>920</v>
      </c>
      <c r="H482" s="1" t="s">
        <v>921</v>
      </c>
      <c r="I482" s="1" t="s">
        <v>21</v>
      </c>
      <c r="J482" s="1" t="s">
        <v>22</v>
      </c>
      <c r="K482" s="2">
        <v>20.686929809999999</v>
      </c>
      <c r="L482" s="2">
        <v>105.72038903000001</v>
      </c>
      <c r="M482" s="1" t="s">
        <v>920</v>
      </c>
      <c r="N482" s="1" t="s">
        <v>864</v>
      </c>
      <c r="O482" s="1" t="str">
        <f>INT(K482)&amp;"°"&amp;INT(MOD(K482,1)*60)&amp;"'"&amp;
ROUND(MOD(MOD(K482,1)*60,1)*60,1)&amp;"""N"</f>
        <v>20°41'12.9"N</v>
      </c>
      <c r="P482" s="1" t="str">
        <f>INT(L482)&amp;"°"&amp;INT(MOD(L482,1)*60)&amp;"'"&amp;
ROUND(MOD(MOD(L482,1)*60,1)*60,1)&amp;"""E"</f>
        <v>105°43'13.4"E</v>
      </c>
      <c r="Q482" s="1" t="str">
        <f>O482 &amp; " " &amp; P482</f>
        <v>20°41'12.9"N 105°43'13.4"E</v>
      </c>
    </row>
    <row r="483" spans="1:17" ht="15.75" customHeight="1" x14ac:dyDescent="0.2">
      <c r="A483" s="1">
        <v>340</v>
      </c>
      <c r="B483" s="1" t="s">
        <v>1248</v>
      </c>
      <c r="C483" s="1" t="s">
        <v>15</v>
      </c>
      <c r="D483" s="1" t="s">
        <v>16</v>
      </c>
      <c r="E483" s="1" t="s">
        <v>1223</v>
      </c>
      <c r="F483" s="1" t="s">
        <v>177</v>
      </c>
      <c r="G483" s="1" t="s">
        <v>1249</v>
      </c>
      <c r="H483" s="1" t="s">
        <v>1250</v>
      </c>
      <c r="I483" s="1" t="s">
        <v>21</v>
      </c>
      <c r="J483" s="1" t="s">
        <v>22</v>
      </c>
      <c r="K483" s="2">
        <v>20.69117245</v>
      </c>
      <c r="L483" s="2">
        <v>105.01436989</v>
      </c>
      <c r="M483" s="1" t="s">
        <v>1249</v>
      </c>
      <c r="N483" s="1" t="s">
        <v>1225</v>
      </c>
      <c r="O483" s="1" t="str">
        <f>INT(K483)&amp;"°"&amp;INT(MOD(K483,1)*60)&amp;"'"&amp;
ROUND(MOD(MOD(K483,1)*60,1)*60,1)&amp;"""N"</f>
        <v>20°41'28.2"N</v>
      </c>
      <c r="P483" s="1" t="str">
        <f>INT(L483)&amp;"°"&amp;INT(MOD(L483,1)*60)&amp;"'"&amp;
ROUND(MOD(MOD(L483,1)*60,1)*60,1)&amp;"""E"</f>
        <v>105°0'51.7"E</v>
      </c>
      <c r="Q483" s="1" t="str">
        <f>O483 &amp; " " &amp; P483</f>
        <v>20°41'28.2"N 105°0'51.7"E</v>
      </c>
    </row>
    <row r="484" spans="1:17" ht="15.75" customHeight="1" x14ac:dyDescent="0.2">
      <c r="A484" s="1">
        <v>298</v>
      </c>
      <c r="B484" s="1" t="s">
        <v>1098</v>
      </c>
      <c r="C484" s="1" t="s">
        <v>15</v>
      </c>
      <c r="D484" s="1" t="s">
        <v>16</v>
      </c>
      <c r="E484" s="1" t="s">
        <v>1059</v>
      </c>
      <c r="F484" s="1" t="s">
        <v>1019</v>
      </c>
      <c r="G484" s="1" t="s">
        <v>1099</v>
      </c>
      <c r="H484" s="1" t="s">
        <v>1100</v>
      </c>
      <c r="I484" s="1" t="s">
        <v>21</v>
      </c>
      <c r="J484" s="1" t="s">
        <v>22</v>
      </c>
      <c r="K484" s="2">
        <v>20.695545620000001</v>
      </c>
      <c r="L484" s="2">
        <v>106.59516498000001</v>
      </c>
      <c r="M484" s="1" t="s">
        <v>1101</v>
      </c>
      <c r="N484" s="1" t="s">
        <v>1019</v>
      </c>
      <c r="O484" s="1" t="str">
        <f>INT(K484)&amp;"°"&amp;INT(MOD(K484,1)*60)&amp;"'"&amp;
ROUND(MOD(MOD(K484,1)*60,1)*60,1)&amp;"""N"</f>
        <v>20°41'44"N</v>
      </c>
      <c r="P484" s="1" t="str">
        <f>INT(L484)&amp;"°"&amp;INT(MOD(L484,1)*60)&amp;"'"&amp;
ROUND(MOD(MOD(L484,1)*60,1)*60,1)&amp;"""E"</f>
        <v>106°35'42.6"E</v>
      </c>
      <c r="Q484" s="1" t="str">
        <f>O484 &amp; " " &amp; P484</f>
        <v>20°41'44"N 106°35'42.6"E</v>
      </c>
    </row>
    <row r="485" spans="1:17" ht="15.75" customHeight="1" x14ac:dyDescent="0.2">
      <c r="A485" s="1">
        <v>332</v>
      </c>
      <c r="B485" s="1" t="s">
        <v>1222</v>
      </c>
      <c r="C485" s="1" t="s">
        <v>15</v>
      </c>
      <c r="D485" s="1" t="s">
        <v>16</v>
      </c>
      <c r="E485" s="1" t="s">
        <v>1223</v>
      </c>
      <c r="F485" s="1" t="s">
        <v>177</v>
      </c>
      <c r="G485" s="1" t="s">
        <v>1224</v>
      </c>
      <c r="H485" s="1" t="s">
        <v>1224</v>
      </c>
      <c r="I485" s="1" t="s">
        <v>21</v>
      </c>
      <c r="J485" s="1" t="s">
        <v>22</v>
      </c>
      <c r="K485" s="2">
        <v>20.69770042</v>
      </c>
      <c r="L485" s="2">
        <v>105.31985453</v>
      </c>
      <c r="M485" s="1" t="s">
        <v>1224</v>
      </c>
      <c r="N485" s="1" t="s">
        <v>1225</v>
      </c>
      <c r="O485" s="1" t="str">
        <f>INT(K485)&amp;"°"&amp;INT(MOD(K485,1)*60)&amp;"'"&amp;
ROUND(MOD(MOD(K485,1)*60,1)*60,1)&amp;"""N"</f>
        <v>20°41'51.7"N</v>
      </c>
      <c r="P485" s="1" t="str">
        <f>INT(L485)&amp;"°"&amp;INT(MOD(L485,1)*60)&amp;"'"&amp;
ROUND(MOD(MOD(L485,1)*60,1)*60,1)&amp;"""E"</f>
        <v>105°19'11.5"E</v>
      </c>
      <c r="Q485" s="1" t="str">
        <f>O485 &amp; " " &amp; P485</f>
        <v>20°41'51.7"N 105°19'11.5"E</v>
      </c>
    </row>
    <row r="486" spans="1:17" ht="15.75" customHeight="1" x14ac:dyDescent="0.2">
      <c r="A486" s="1">
        <v>259</v>
      </c>
      <c r="B486" s="1" t="s">
        <v>963</v>
      </c>
      <c r="C486" s="1" t="s">
        <v>15</v>
      </c>
      <c r="D486" s="1" t="s">
        <v>16</v>
      </c>
      <c r="E486" s="1" t="s">
        <v>863</v>
      </c>
      <c r="F486" s="1" t="s">
        <v>864</v>
      </c>
      <c r="G486" s="1" t="s">
        <v>964</v>
      </c>
      <c r="H486" s="1" t="s">
        <v>965</v>
      </c>
      <c r="I486" s="1" t="s">
        <v>21</v>
      </c>
      <c r="J486" s="1" t="s">
        <v>22</v>
      </c>
      <c r="K486" s="2">
        <v>20.712037779999999</v>
      </c>
      <c r="L486" s="2">
        <v>105.79940227</v>
      </c>
      <c r="M486" s="1" t="s">
        <v>966</v>
      </c>
      <c r="N486" s="1" t="s">
        <v>864</v>
      </c>
      <c r="O486" s="1" t="str">
        <f>INT(K486)&amp;"°"&amp;INT(MOD(K486,1)*60)&amp;"'"&amp;
ROUND(MOD(MOD(K486,1)*60,1)*60,1)&amp;"""N"</f>
        <v>20°42'43.3"N</v>
      </c>
      <c r="P486" s="1" t="str">
        <f>INT(L486)&amp;"°"&amp;INT(MOD(L486,1)*60)&amp;"'"&amp;
ROUND(MOD(MOD(L486,1)*60,1)*60,1)&amp;"""E"</f>
        <v>105°47'57.8"E</v>
      </c>
      <c r="Q486" s="1" t="str">
        <f>O486 &amp; " " &amp; P486</f>
        <v>20°42'43.3"N 105°47'57.8"E</v>
      </c>
    </row>
    <row r="487" spans="1:17" ht="15.75" customHeight="1" x14ac:dyDescent="0.2">
      <c r="A487" s="1">
        <v>348</v>
      </c>
      <c r="B487" s="1" t="s">
        <v>1277</v>
      </c>
      <c r="C487" s="1" t="s">
        <v>15</v>
      </c>
      <c r="D487" s="1" t="s">
        <v>16</v>
      </c>
      <c r="E487" s="1" t="s">
        <v>1260</v>
      </c>
      <c r="F487" s="1" t="s">
        <v>1261</v>
      </c>
      <c r="G487" s="1" t="s">
        <v>1278</v>
      </c>
      <c r="H487" s="1" t="s">
        <v>1279</v>
      </c>
      <c r="I487" s="1" t="s">
        <v>21</v>
      </c>
      <c r="J487" s="1" t="s">
        <v>22</v>
      </c>
      <c r="K487" s="2">
        <v>20.713696259999999</v>
      </c>
      <c r="L487" s="2">
        <v>106.19070281</v>
      </c>
      <c r="M487" s="1" t="s">
        <v>1280</v>
      </c>
      <c r="N487" s="1" t="s">
        <v>1261</v>
      </c>
      <c r="O487" s="1" t="str">
        <f>INT(K487)&amp;"°"&amp;INT(MOD(K487,1)*60)&amp;"'"&amp;
ROUND(MOD(MOD(K487,1)*60,1)*60,1)&amp;"""N"</f>
        <v>20°42'49.3"N</v>
      </c>
      <c r="P487" s="1" t="str">
        <f>INT(L487)&amp;"°"&amp;INT(MOD(L487,1)*60)&amp;"'"&amp;
ROUND(MOD(MOD(L487,1)*60,1)*60,1)&amp;"""E"</f>
        <v>106°11'26.5"E</v>
      </c>
      <c r="Q487" s="1" t="str">
        <f>O487 &amp; " " &amp; P487</f>
        <v>20°42'49.3"N 106°11'26.5"E</v>
      </c>
    </row>
    <row r="488" spans="1:17" ht="15.75" customHeight="1" x14ac:dyDescent="0.2">
      <c r="A488" s="1">
        <v>289</v>
      </c>
      <c r="B488" s="1" t="s">
        <v>1069</v>
      </c>
      <c r="C488" s="1" t="s">
        <v>15</v>
      </c>
      <c r="D488" s="1" t="s">
        <v>16</v>
      </c>
      <c r="E488" s="1" t="s">
        <v>1059</v>
      </c>
      <c r="F488" s="1" t="s">
        <v>1019</v>
      </c>
      <c r="G488" s="1" t="s">
        <v>1070</v>
      </c>
      <c r="H488" s="1" t="s">
        <v>1071</v>
      </c>
      <c r="I488" s="1" t="s">
        <v>434</v>
      </c>
      <c r="J488" s="1" t="s">
        <v>435</v>
      </c>
      <c r="K488" s="2">
        <v>20.72569429</v>
      </c>
      <c r="L488" s="2">
        <v>106.76000775999999</v>
      </c>
      <c r="M488" s="1" t="s">
        <v>1070</v>
      </c>
      <c r="N488" s="1" t="s">
        <v>1019</v>
      </c>
      <c r="O488" s="1" t="str">
        <f>INT(K488)&amp;"°"&amp;INT(MOD(K488,1)*60)&amp;"'"&amp;
ROUND(MOD(MOD(K488,1)*60,1)*60,1)&amp;"""N"</f>
        <v>20°43'32.5"N</v>
      </c>
      <c r="P488" s="1" t="str">
        <f>INT(L488)&amp;"°"&amp;INT(MOD(L488,1)*60)&amp;"'"&amp;
ROUND(MOD(MOD(L488,1)*60,1)*60,1)&amp;"""E"</f>
        <v>106°45'36"E</v>
      </c>
      <c r="Q488" s="1" t="str">
        <f>O488 &amp; " " &amp; P488</f>
        <v>20°43'32.5"N 106°45'36"E</v>
      </c>
    </row>
    <row r="489" spans="1:17" ht="15.75" customHeight="1" x14ac:dyDescent="0.2">
      <c r="A489" s="1">
        <v>294</v>
      </c>
      <c r="B489" s="1" t="s">
        <v>1085</v>
      </c>
      <c r="C489" s="1" t="s">
        <v>15</v>
      </c>
      <c r="D489" s="1" t="s">
        <v>16</v>
      </c>
      <c r="E489" s="1" t="s">
        <v>1059</v>
      </c>
      <c r="F489" s="1" t="s">
        <v>1019</v>
      </c>
      <c r="G489" s="1" t="s">
        <v>1086</v>
      </c>
      <c r="H489" s="1" t="s">
        <v>1087</v>
      </c>
      <c r="I489" s="1" t="s">
        <v>21</v>
      </c>
      <c r="J489" s="1" t="s">
        <v>22</v>
      </c>
      <c r="K489" s="2">
        <v>20.733993210000001</v>
      </c>
      <c r="L489" s="2">
        <v>106.67315064</v>
      </c>
      <c r="M489" s="1" t="s">
        <v>1088</v>
      </c>
      <c r="N489" s="1" t="s">
        <v>1019</v>
      </c>
      <c r="O489" s="1" t="str">
        <f>INT(K489)&amp;"°"&amp;INT(MOD(K489,1)*60)&amp;"'"&amp;
ROUND(MOD(MOD(K489,1)*60,1)*60,1)&amp;"""N"</f>
        <v>20°44'2.4"N</v>
      </c>
      <c r="P489" s="1" t="str">
        <f>INT(L489)&amp;"°"&amp;INT(MOD(L489,1)*60)&amp;"'"&amp;
ROUND(MOD(MOD(L489,1)*60,1)*60,1)&amp;"""E"</f>
        <v>106°40'23.3"E</v>
      </c>
      <c r="Q489" s="1" t="str">
        <f>O489 &amp; " " &amp; P489</f>
        <v>20°44'2.4"N 106°40'23.3"E</v>
      </c>
    </row>
    <row r="490" spans="1:17" ht="15.75" customHeight="1" x14ac:dyDescent="0.2">
      <c r="A490" s="1">
        <v>248</v>
      </c>
      <c r="B490" s="1" t="s">
        <v>926</v>
      </c>
      <c r="C490" s="1" t="s">
        <v>15</v>
      </c>
      <c r="D490" s="1" t="s">
        <v>16</v>
      </c>
      <c r="E490" s="1" t="s">
        <v>863</v>
      </c>
      <c r="F490" s="1" t="s">
        <v>864</v>
      </c>
      <c r="G490" s="1" t="s">
        <v>927</v>
      </c>
      <c r="H490" s="1" t="s">
        <v>928</v>
      </c>
      <c r="I490" s="1" t="s">
        <v>21</v>
      </c>
      <c r="J490" s="1" t="s">
        <v>22</v>
      </c>
      <c r="K490" s="2">
        <v>20.735744709999999</v>
      </c>
      <c r="L490" s="2">
        <v>105.90096423999999</v>
      </c>
      <c r="M490" s="1" t="s">
        <v>927</v>
      </c>
      <c r="N490" s="1" t="s">
        <v>864</v>
      </c>
      <c r="O490" s="1" t="str">
        <f>INT(K490)&amp;"°"&amp;INT(MOD(K490,1)*60)&amp;"'"&amp;
ROUND(MOD(MOD(K490,1)*60,1)*60,1)&amp;"""N"</f>
        <v>20°44'8.7"N</v>
      </c>
      <c r="P490" s="1" t="str">
        <f>INT(L490)&amp;"°"&amp;INT(MOD(L490,1)*60)&amp;"'"&amp;
ROUND(MOD(MOD(L490,1)*60,1)*60,1)&amp;"""E"</f>
        <v>105°54'3.5"E</v>
      </c>
      <c r="Q490" s="1" t="str">
        <f>O490 &amp; " " &amp; P490</f>
        <v>20°44'8.7"N 105°54'3.5"E</v>
      </c>
    </row>
    <row r="491" spans="1:17" ht="15.75" customHeight="1" x14ac:dyDescent="0.2">
      <c r="A491" s="1">
        <v>346</v>
      </c>
      <c r="B491" s="1" t="s">
        <v>1270</v>
      </c>
      <c r="C491" s="1" t="s">
        <v>15</v>
      </c>
      <c r="D491" s="1" t="s">
        <v>16</v>
      </c>
      <c r="E491" s="1" t="s">
        <v>1260</v>
      </c>
      <c r="F491" s="1" t="s">
        <v>1261</v>
      </c>
      <c r="G491" s="1" t="s">
        <v>1271</v>
      </c>
      <c r="H491" s="1" t="s">
        <v>1272</v>
      </c>
      <c r="I491" s="1" t="s">
        <v>21</v>
      </c>
      <c r="J491" s="1" t="s">
        <v>22</v>
      </c>
      <c r="K491" s="2">
        <v>20.746179229999999</v>
      </c>
      <c r="L491" s="2">
        <v>106.03263964</v>
      </c>
      <c r="M491" s="1" t="s">
        <v>1273</v>
      </c>
      <c r="N491" s="1" t="s">
        <v>1261</v>
      </c>
      <c r="O491" s="1" t="str">
        <f>INT(K491)&amp;"°"&amp;INT(MOD(K491,1)*60)&amp;"'"&amp;
ROUND(MOD(MOD(K491,1)*60,1)*60,1)&amp;"""N"</f>
        <v>20°44'46.2"N</v>
      </c>
      <c r="P491" s="1" t="str">
        <f>INT(L491)&amp;"°"&amp;INT(MOD(L491,1)*60)&amp;"'"&amp;
ROUND(MOD(MOD(L491,1)*60,1)*60,1)&amp;"""E"</f>
        <v>106°1'57.5"E</v>
      </c>
      <c r="Q491" s="1" t="str">
        <f>O491 &amp; " " &amp; P491</f>
        <v>20°44'46.2"N 106°1'57.5"E</v>
      </c>
    </row>
    <row r="492" spans="1:17" ht="15.75" customHeight="1" x14ac:dyDescent="0.2">
      <c r="A492" s="1">
        <v>281</v>
      </c>
      <c r="B492" s="1" t="s">
        <v>1045</v>
      </c>
      <c r="C492" s="1" t="s">
        <v>15</v>
      </c>
      <c r="D492" s="1" t="s">
        <v>16</v>
      </c>
      <c r="E492" s="1" t="s">
        <v>1014</v>
      </c>
      <c r="F492" s="1" t="s">
        <v>1015</v>
      </c>
      <c r="G492" s="1" t="s">
        <v>1046</v>
      </c>
      <c r="H492" s="1" t="s">
        <v>1046</v>
      </c>
      <c r="I492" s="1" t="s">
        <v>21</v>
      </c>
      <c r="J492" s="1" t="s">
        <v>22</v>
      </c>
      <c r="K492" s="2">
        <v>20.747516260000001</v>
      </c>
      <c r="L492" s="2">
        <v>106.33409152</v>
      </c>
      <c r="M492" s="1" t="s">
        <v>1047</v>
      </c>
      <c r="N492" s="1" t="s">
        <v>1019</v>
      </c>
      <c r="O492" s="1" t="str">
        <f>INT(K492)&amp;"°"&amp;INT(MOD(K492,1)*60)&amp;"'"&amp;
ROUND(MOD(MOD(K492,1)*60,1)*60,1)&amp;"""N"</f>
        <v>20°44'51.1"N</v>
      </c>
      <c r="P492" s="1" t="str">
        <f>INT(L492)&amp;"°"&amp;INT(MOD(L492,1)*60)&amp;"'"&amp;
ROUND(MOD(MOD(L492,1)*60,1)*60,1)&amp;"""E"</f>
        <v>106°20'2.7"E</v>
      </c>
      <c r="Q492" s="1" t="str">
        <f>O492 &amp; " " &amp; P492</f>
        <v>20°44'51.1"N 106°20'2.7"E</v>
      </c>
    </row>
    <row r="493" spans="1:17" ht="15.75" customHeight="1" x14ac:dyDescent="0.2">
      <c r="A493" s="1">
        <v>283</v>
      </c>
      <c r="B493" s="1" t="s">
        <v>1051</v>
      </c>
      <c r="C493" s="1" t="s">
        <v>15</v>
      </c>
      <c r="D493" s="1" t="s">
        <v>16</v>
      </c>
      <c r="E493" s="1" t="s">
        <v>1014</v>
      </c>
      <c r="F493" s="1" t="s">
        <v>1015</v>
      </c>
      <c r="G493" s="1" t="s">
        <v>1052</v>
      </c>
      <c r="H493" s="1" t="s">
        <v>1053</v>
      </c>
      <c r="I493" s="1" t="s">
        <v>21</v>
      </c>
      <c r="J493" s="1" t="s">
        <v>22</v>
      </c>
      <c r="K493" s="2">
        <v>20.78048411</v>
      </c>
      <c r="L493" s="2">
        <v>106.21601156</v>
      </c>
      <c r="M493" s="1" t="s">
        <v>1054</v>
      </c>
      <c r="N493" s="1" t="s">
        <v>1019</v>
      </c>
      <c r="O493" s="1" t="str">
        <f>INT(K493)&amp;"°"&amp;INT(MOD(K493,1)*60)&amp;"'"&amp;
ROUND(MOD(MOD(K493,1)*60,1)*60,1)&amp;"""N"</f>
        <v>20°46'49.7"N</v>
      </c>
      <c r="P493" s="1" t="str">
        <f>INT(L493)&amp;"°"&amp;INT(MOD(L493,1)*60)&amp;"'"&amp;
ROUND(MOD(MOD(L493,1)*60,1)*60,1)&amp;"""E"</f>
        <v>106°12'57.6"E</v>
      </c>
      <c r="Q493" s="1" t="str">
        <f>O493 &amp; " " &amp; P493</f>
        <v>20°46'49.7"N 106°12'57.6"E</v>
      </c>
    </row>
    <row r="494" spans="1:17" ht="15.75" customHeight="1" x14ac:dyDescent="0.2">
      <c r="A494" s="1">
        <v>290</v>
      </c>
      <c r="B494" s="1" t="s">
        <v>1072</v>
      </c>
      <c r="C494" s="1" t="s">
        <v>15</v>
      </c>
      <c r="D494" s="1" t="s">
        <v>16</v>
      </c>
      <c r="E494" s="1" t="s">
        <v>1059</v>
      </c>
      <c r="F494" s="1" t="s">
        <v>1019</v>
      </c>
      <c r="G494" s="1" t="s">
        <v>1073</v>
      </c>
      <c r="H494" s="1" t="s">
        <v>1074</v>
      </c>
      <c r="I494" s="1" t="s">
        <v>434</v>
      </c>
      <c r="J494" s="1" t="s">
        <v>435</v>
      </c>
      <c r="K494" s="2">
        <v>20.781629509999998</v>
      </c>
      <c r="L494" s="2">
        <v>106.71372783</v>
      </c>
      <c r="M494" s="1" t="s">
        <v>1073</v>
      </c>
      <c r="N494" s="1" t="s">
        <v>1019</v>
      </c>
      <c r="O494" s="1" t="str">
        <f>INT(K494)&amp;"°"&amp;INT(MOD(K494,1)*60)&amp;"'"&amp;
ROUND(MOD(MOD(K494,1)*60,1)*60,1)&amp;"""N"</f>
        <v>20°46'53.9"N</v>
      </c>
      <c r="P494" s="1" t="str">
        <f>INT(L494)&amp;"°"&amp;INT(MOD(L494,1)*60)&amp;"'"&amp;
ROUND(MOD(MOD(L494,1)*60,1)*60,1)&amp;"""E"</f>
        <v>106°42'49.4"E</v>
      </c>
      <c r="Q494" s="1" t="str">
        <f>O494 &amp; " " &amp; P494</f>
        <v>20°46'53.9"N 106°42'49.4"E</v>
      </c>
    </row>
    <row r="495" spans="1:17" ht="15.75" customHeight="1" x14ac:dyDescent="0.2">
      <c r="A495" s="1">
        <v>594</v>
      </c>
      <c r="B495" s="1" t="s">
        <v>2154</v>
      </c>
      <c r="C495" s="1" t="s">
        <v>15</v>
      </c>
      <c r="D495" s="1" t="s">
        <v>16</v>
      </c>
      <c r="E495" s="1" t="s">
        <v>2120</v>
      </c>
      <c r="F495" s="1" t="s">
        <v>2121</v>
      </c>
      <c r="G495" s="1" t="s">
        <v>2155</v>
      </c>
      <c r="H495" s="1" t="s">
        <v>2156</v>
      </c>
      <c r="I495" s="1" t="s">
        <v>21</v>
      </c>
      <c r="J495" s="1" t="s">
        <v>22</v>
      </c>
      <c r="K495" s="2">
        <v>20.798610450000002</v>
      </c>
      <c r="L495" s="2">
        <v>104.82576571</v>
      </c>
      <c r="M495" s="1" t="s">
        <v>2155</v>
      </c>
      <c r="N495" s="1" t="s">
        <v>2121</v>
      </c>
      <c r="O495" s="1" t="str">
        <f>INT(K495)&amp;"°"&amp;INT(MOD(K495,1)*60)&amp;"'"&amp;
ROUND(MOD(MOD(K495,1)*60,1)*60,1)&amp;"""N"</f>
        <v>20°47'55"N</v>
      </c>
      <c r="P495" s="1" t="str">
        <f>INT(L495)&amp;"°"&amp;INT(MOD(L495,1)*60)&amp;"'"&amp;
ROUND(MOD(MOD(L495,1)*60,1)*60,1)&amp;"""E"</f>
        <v>104°49'32.8"E</v>
      </c>
      <c r="Q495" s="1" t="str">
        <f>O495 &amp; " " &amp; P495</f>
        <v>20°47'55"N 104°49'32.8"E</v>
      </c>
    </row>
    <row r="496" spans="1:17" ht="15.75" customHeight="1" x14ac:dyDescent="0.2">
      <c r="A496" s="1">
        <v>339</v>
      </c>
      <c r="B496" s="1" t="s">
        <v>1245</v>
      </c>
      <c r="C496" s="1" t="s">
        <v>15</v>
      </c>
      <c r="D496" s="1" t="s">
        <v>16</v>
      </c>
      <c r="E496" s="1" t="s">
        <v>1223</v>
      </c>
      <c r="F496" s="1" t="s">
        <v>177</v>
      </c>
      <c r="G496" s="1" t="s">
        <v>368</v>
      </c>
      <c r="H496" s="1" t="s">
        <v>1246</v>
      </c>
      <c r="I496" s="1" t="s">
        <v>21</v>
      </c>
      <c r="J496" s="1" t="s">
        <v>22</v>
      </c>
      <c r="K496" s="2">
        <v>20.80016749</v>
      </c>
      <c r="L496" s="2">
        <v>105.56275665</v>
      </c>
      <c r="M496" s="1" t="s">
        <v>1247</v>
      </c>
      <c r="N496" s="1" t="s">
        <v>1225</v>
      </c>
      <c r="O496" s="1" t="str">
        <f>INT(K496)&amp;"°"&amp;INT(MOD(K496,1)*60)&amp;"'"&amp;
ROUND(MOD(MOD(K496,1)*60,1)*60,1)&amp;"""N"</f>
        <v>20°48'0.6"N</v>
      </c>
      <c r="P496" s="1" t="str">
        <f>INT(L496)&amp;"°"&amp;INT(MOD(L496,1)*60)&amp;"'"&amp;
ROUND(MOD(MOD(L496,1)*60,1)*60,1)&amp;"""E"</f>
        <v>105°33'45.9"E</v>
      </c>
      <c r="Q496" s="1" t="str">
        <f>O496 &amp; " " &amp; P496</f>
        <v>20°48'0.6"N 105°33'45.9"E</v>
      </c>
    </row>
    <row r="497" spans="1:17" ht="15.75" customHeight="1" x14ac:dyDescent="0.2">
      <c r="A497" s="1">
        <v>288</v>
      </c>
      <c r="B497" s="1" t="s">
        <v>1066</v>
      </c>
      <c r="C497" s="1" t="s">
        <v>15</v>
      </c>
      <c r="D497" s="1" t="s">
        <v>16</v>
      </c>
      <c r="E497" s="1" t="s">
        <v>1059</v>
      </c>
      <c r="F497" s="1" t="s">
        <v>1019</v>
      </c>
      <c r="G497" s="1" t="s">
        <v>1067</v>
      </c>
      <c r="H497" s="1" t="s">
        <v>1068</v>
      </c>
      <c r="I497" s="1" t="s">
        <v>21</v>
      </c>
      <c r="J497" s="1" t="s">
        <v>22</v>
      </c>
      <c r="K497" s="2">
        <v>20.80034822</v>
      </c>
      <c r="L497" s="2">
        <v>106.98941418</v>
      </c>
      <c r="M497" s="1" t="s">
        <v>1067</v>
      </c>
      <c r="N497" s="1" t="s">
        <v>1019</v>
      </c>
      <c r="O497" s="1" t="str">
        <f>INT(K497)&amp;"°"&amp;INT(MOD(K497,1)*60)&amp;"'"&amp;
ROUND(MOD(MOD(K497,1)*60,1)*60,1)&amp;"""N"</f>
        <v>20°48'1.3"N</v>
      </c>
      <c r="P497" s="1" t="str">
        <f>INT(L497)&amp;"°"&amp;INT(MOD(L497,1)*60)&amp;"'"&amp;
ROUND(MOD(MOD(L497,1)*60,1)*60,1)&amp;"""E"</f>
        <v>106°59'21.9"E</v>
      </c>
      <c r="Q497" s="1" t="str">
        <f>O497 &amp; " " &amp; P497</f>
        <v>20°48'1.3"N 106°59'21.9"E</v>
      </c>
    </row>
    <row r="498" spans="1:17" ht="15.75" customHeight="1" x14ac:dyDescent="0.2">
      <c r="A498" s="1">
        <v>286</v>
      </c>
      <c r="B498" s="1" t="s">
        <v>1062</v>
      </c>
      <c r="C498" s="1" t="s">
        <v>15</v>
      </c>
      <c r="D498" s="1" t="s">
        <v>16</v>
      </c>
      <c r="E498" s="1" t="s">
        <v>1059</v>
      </c>
      <c r="F498" s="1" t="s">
        <v>1019</v>
      </c>
      <c r="G498" s="1" t="s">
        <v>252</v>
      </c>
      <c r="H498" s="1" t="s">
        <v>253</v>
      </c>
      <c r="I498" s="1" t="s">
        <v>21</v>
      </c>
      <c r="J498" s="1" t="s">
        <v>22</v>
      </c>
      <c r="K498" s="2">
        <v>20.803004009999999</v>
      </c>
      <c r="L498" s="2">
        <v>106.56114339</v>
      </c>
      <c r="M498" s="1" t="s">
        <v>252</v>
      </c>
      <c r="N498" s="1" t="s">
        <v>1019</v>
      </c>
      <c r="O498" s="1" t="str">
        <f>INT(K498)&amp;"°"&amp;INT(MOD(K498,1)*60)&amp;"'"&amp;
ROUND(MOD(MOD(K498,1)*60,1)*60,1)&amp;"""N"</f>
        <v>20°48'10.8"N</v>
      </c>
      <c r="P498" s="1" t="str">
        <f>INT(L498)&amp;"°"&amp;INT(MOD(L498,1)*60)&amp;"'"&amp;
ROUND(MOD(MOD(L498,1)*60,1)*60,1)&amp;"""E"</f>
        <v>106°33'40.1"E</v>
      </c>
      <c r="Q498" s="1" t="str">
        <f>O498 &amp; " " &amp; P498</f>
        <v>20°48'10.8"N 106°33'40.1"E</v>
      </c>
    </row>
    <row r="499" spans="1:17" ht="15.75" customHeight="1" x14ac:dyDescent="0.2">
      <c r="A499" s="1">
        <v>293</v>
      </c>
      <c r="B499" s="1" t="s">
        <v>1081</v>
      </c>
      <c r="C499" s="1" t="s">
        <v>15</v>
      </c>
      <c r="D499" s="1" t="s">
        <v>16</v>
      </c>
      <c r="E499" s="1" t="s">
        <v>1059</v>
      </c>
      <c r="F499" s="1" t="s">
        <v>1019</v>
      </c>
      <c r="G499" s="1" t="s">
        <v>1082</v>
      </c>
      <c r="H499" s="1" t="s">
        <v>1083</v>
      </c>
      <c r="I499" s="1" t="s">
        <v>434</v>
      </c>
      <c r="J499" s="1" t="s">
        <v>435</v>
      </c>
      <c r="K499" s="2">
        <v>20.804317380000001</v>
      </c>
      <c r="L499" s="2">
        <v>106.63902787000001</v>
      </c>
      <c r="M499" s="1" t="s">
        <v>1084</v>
      </c>
      <c r="N499" s="1" t="s">
        <v>1019</v>
      </c>
      <c r="O499" s="1" t="str">
        <f>INT(K499)&amp;"°"&amp;INT(MOD(K499,1)*60)&amp;"'"&amp;
ROUND(MOD(MOD(K499,1)*60,1)*60,1)&amp;"""N"</f>
        <v>20°48'15.5"N</v>
      </c>
      <c r="P499" s="1" t="str">
        <f>INT(L499)&amp;"°"&amp;INT(MOD(L499,1)*60)&amp;"'"&amp;
ROUND(MOD(MOD(L499,1)*60,1)*60,1)&amp;"""E"</f>
        <v>106°38'20.5"E</v>
      </c>
      <c r="Q499" s="1" t="str">
        <f>O499 &amp; " " &amp; P499</f>
        <v>20°48'15.5"N 106°38'20.5"E</v>
      </c>
    </row>
    <row r="500" spans="1:17" ht="15.75" customHeight="1" x14ac:dyDescent="0.2">
      <c r="A500" s="1">
        <v>284</v>
      </c>
      <c r="B500" s="1" t="s">
        <v>1055</v>
      </c>
      <c r="C500" s="1" t="s">
        <v>15</v>
      </c>
      <c r="D500" s="1" t="s">
        <v>16</v>
      </c>
      <c r="E500" s="1" t="s">
        <v>1014</v>
      </c>
      <c r="F500" s="1" t="s">
        <v>1015</v>
      </c>
      <c r="G500" s="1" t="s">
        <v>1056</v>
      </c>
      <c r="H500" s="1" t="s">
        <v>1057</v>
      </c>
      <c r="I500" s="1" t="s">
        <v>21</v>
      </c>
      <c r="J500" s="1" t="s">
        <v>22</v>
      </c>
      <c r="K500" s="2">
        <v>20.80843119</v>
      </c>
      <c r="L500" s="2">
        <v>106.407231</v>
      </c>
      <c r="M500" s="1" t="s">
        <v>1056</v>
      </c>
      <c r="N500" s="1" t="s">
        <v>1019</v>
      </c>
      <c r="O500" s="1" t="str">
        <f>INT(K500)&amp;"°"&amp;INT(MOD(K500,1)*60)&amp;"'"&amp;
ROUND(MOD(MOD(K500,1)*60,1)*60,1)&amp;"""N"</f>
        <v>20°48'30.4"N</v>
      </c>
      <c r="P500" s="1" t="str">
        <f>INT(L500)&amp;"°"&amp;INT(MOD(L500,1)*60)&amp;"'"&amp;
ROUND(MOD(MOD(L500,1)*60,1)*60,1)&amp;"""E"</f>
        <v>106°24'26"E</v>
      </c>
      <c r="Q500" s="1" t="str">
        <f>O500 &amp; " " &amp; P500</f>
        <v>20°48'30.4"N 106°24'26"E</v>
      </c>
    </row>
    <row r="501" spans="1:17" ht="15.75" customHeight="1" x14ac:dyDescent="0.2">
      <c r="A501" s="1">
        <v>343</v>
      </c>
      <c r="B501" s="1" t="s">
        <v>1259</v>
      </c>
      <c r="C501" s="1" t="s">
        <v>15</v>
      </c>
      <c r="D501" s="1" t="s">
        <v>16</v>
      </c>
      <c r="E501" s="1" t="s">
        <v>1260</v>
      </c>
      <c r="F501" s="1" t="s">
        <v>1261</v>
      </c>
      <c r="G501" s="1" t="s">
        <v>1262</v>
      </c>
      <c r="H501" s="1" t="s">
        <v>1263</v>
      </c>
      <c r="I501" s="1" t="s">
        <v>21</v>
      </c>
      <c r="J501" s="1" t="s">
        <v>22</v>
      </c>
      <c r="K501" s="2">
        <v>20.81309027</v>
      </c>
      <c r="L501" s="2">
        <v>106.10297954000001</v>
      </c>
      <c r="M501" s="1" t="s">
        <v>1262</v>
      </c>
      <c r="N501" s="1" t="s">
        <v>1261</v>
      </c>
      <c r="O501" s="1" t="str">
        <f>INT(K501)&amp;"°"&amp;INT(MOD(K501,1)*60)&amp;"'"&amp;
ROUND(MOD(MOD(K501,1)*60,1)*60,1)&amp;"""N"</f>
        <v>20°48'47.1"N</v>
      </c>
      <c r="P501" s="1" t="str">
        <f>INT(L501)&amp;"°"&amp;INT(MOD(L501,1)*60)&amp;"'"&amp;
ROUND(MOD(MOD(L501,1)*60,1)*60,1)&amp;"""E"</f>
        <v>106°6'10.7"E</v>
      </c>
      <c r="Q501" s="1" t="str">
        <f>O501 &amp; " " &amp; P501</f>
        <v>20°48'47.1"N 106°6'10.7"E</v>
      </c>
    </row>
    <row r="502" spans="1:17" ht="15.75" customHeight="1" x14ac:dyDescent="0.2">
      <c r="A502" s="1">
        <v>291</v>
      </c>
      <c r="B502" s="1" t="s">
        <v>1075</v>
      </c>
      <c r="C502" s="1" t="s">
        <v>15</v>
      </c>
      <c r="D502" s="1" t="s">
        <v>16</v>
      </c>
      <c r="E502" s="1" t="s">
        <v>1059</v>
      </c>
      <c r="F502" s="1" t="s">
        <v>1019</v>
      </c>
      <c r="G502" s="1" t="s">
        <v>1076</v>
      </c>
      <c r="H502" s="1" t="s">
        <v>1077</v>
      </c>
      <c r="I502" s="1" t="s">
        <v>434</v>
      </c>
      <c r="J502" s="1" t="s">
        <v>435</v>
      </c>
      <c r="K502" s="2">
        <v>20.822249880000001</v>
      </c>
      <c r="L502" s="2">
        <v>106.75664671</v>
      </c>
      <c r="M502" s="1" t="s">
        <v>1076</v>
      </c>
      <c r="N502" s="1" t="s">
        <v>1019</v>
      </c>
      <c r="O502" s="1" t="str">
        <f>INT(K502)&amp;"°"&amp;INT(MOD(K502,1)*60)&amp;"'"&amp;
ROUND(MOD(MOD(K502,1)*60,1)*60,1)&amp;"""N"</f>
        <v>20°49'20.1"N</v>
      </c>
      <c r="P502" s="1" t="str">
        <f>INT(L502)&amp;"°"&amp;INT(MOD(L502,1)*60)&amp;"'"&amp;
ROUND(MOD(MOD(L502,1)*60,1)*60,1)&amp;"""E"</f>
        <v>106°45'23.9"E</v>
      </c>
      <c r="Q502" s="1" t="str">
        <f>O502 &amp; " " &amp; P502</f>
        <v>20°49'20.1"N 106°45'23.9"E</v>
      </c>
    </row>
    <row r="503" spans="1:17" ht="15.75" customHeight="1" x14ac:dyDescent="0.2">
      <c r="A503" s="1">
        <v>345</v>
      </c>
      <c r="B503" s="1" t="s">
        <v>1267</v>
      </c>
      <c r="C503" s="1" t="s">
        <v>15</v>
      </c>
      <c r="D503" s="1" t="s">
        <v>16</v>
      </c>
      <c r="E503" s="1" t="s">
        <v>1260</v>
      </c>
      <c r="F503" s="1" t="s">
        <v>1261</v>
      </c>
      <c r="G503" s="1" t="s">
        <v>1268</v>
      </c>
      <c r="H503" s="1" t="s">
        <v>1269</v>
      </c>
      <c r="I503" s="1" t="s">
        <v>21</v>
      </c>
      <c r="J503" s="1" t="s">
        <v>22</v>
      </c>
      <c r="K503" s="2">
        <v>20.82509963</v>
      </c>
      <c r="L503" s="2">
        <v>105.97288362</v>
      </c>
      <c r="M503" s="1" t="s">
        <v>1268</v>
      </c>
      <c r="N503" s="1" t="s">
        <v>1261</v>
      </c>
      <c r="O503" s="1" t="str">
        <f>INT(K503)&amp;"°"&amp;INT(MOD(K503,1)*60)&amp;"'"&amp;
ROUND(MOD(MOD(K503,1)*60,1)*60,1)&amp;"""N"</f>
        <v>20°49'30.4"N</v>
      </c>
      <c r="P503" s="1" t="str">
        <f>INT(L503)&amp;"°"&amp;INT(MOD(L503,1)*60)&amp;"'"&amp;
ROUND(MOD(MOD(L503,1)*60,1)*60,1)&amp;"""E"</f>
        <v>105°58'22.4"E</v>
      </c>
      <c r="Q503" s="1" t="str">
        <f>O503 &amp; " " &amp; P503</f>
        <v>20°49'30.4"N 105°58'22.4"E</v>
      </c>
    </row>
    <row r="504" spans="1:17" ht="15.75" customHeight="1" x14ac:dyDescent="0.2">
      <c r="A504" s="1">
        <v>334</v>
      </c>
      <c r="B504" s="1" t="s">
        <v>1230</v>
      </c>
      <c r="C504" s="1" t="s">
        <v>15</v>
      </c>
      <c r="D504" s="1" t="s">
        <v>16</v>
      </c>
      <c r="E504" s="1" t="s">
        <v>1223</v>
      </c>
      <c r="F504" s="1" t="s">
        <v>177</v>
      </c>
      <c r="G504" s="1" t="s">
        <v>1231</v>
      </c>
      <c r="H504" s="1" t="s">
        <v>178</v>
      </c>
      <c r="I504" s="1" t="s">
        <v>27</v>
      </c>
      <c r="J504" s="1" t="s">
        <v>28</v>
      </c>
      <c r="K504" s="2">
        <v>20.832776599999999</v>
      </c>
      <c r="L504" s="2">
        <v>105.33371622</v>
      </c>
      <c r="M504" s="1" t="s">
        <v>177</v>
      </c>
      <c r="N504" s="1" t="s">
        <v>1225</v>
      </c>
      <c r="O504" s="1" t="str">
        <f>INT(K504)&amp;"°"&amp;INT(MOD(K504,1)*60)&amp;"'"&amp;
ROUND(MOD(MOD(K504,1)*60,1)*60,1)&amp;"""N"</f>
        <v>20°49'58"N</v>
      </c>
      <c r="P504" s="1" t="str">
        <f>INT(L504)&amp;"°"&amp;INT(MOD(L504,1)*60)&amp;"'"&amp;
ROUND(MOD(MOD(L504,1)*60,1)*60,1)&amp;"""E"</f>
        <v>105°20'1.4"E</v>
      </c>
      <c r="Q504" s="1" t="str">
        <f>O504 &amp; " " &amp; P504</f>
        <v>20°49'58"N 105°20'1.4"E</v>
      </c>
    </row>
    <row r="505" spans="1:17" ht="15.75" customHeight="1" x14ac:dyDescent="0.2">
      <c r="A505" s="1">
        <v>295</v>
      </c>
      <c r="B505" s="1" t="s">
        <v>1089</v>
      </c>
      <c r="C505" s="1" t="s">
        <v>15</v>
      </c>
      <c r="D505" s="1" t="s">
        <v>16</v>
      </c>
      <c r="E505" s="1" t="s">
        <v>1059</v>
      </c>
      <c r="F505" s="1" t="s">
        <v>1019</v>
      </c>
      <c r="G505" s="1" t="s">
        <v>1090</v>
      </c>
      <c r="H505" s="1" t="s">
        <v>1091</v>
      </c>
      <c r="I505" s="1" t="s">
        <v>434</v>
      </c>
      <c r="J505" s="1" t="s">
        <v>435</v>
      </c>
      <c r="K505" s="2">
        <v>20.835755970000001</v>
      </c>
      <c r="L505" s="2">
        <v>106.67925086</v>
      </c>
      <c r="M505" s="1" t="s">
        <v>1090</v>
      </c>
      <c r="N505" s="1" t="s">
        <v>1019</v>
      </c>
      <c r="O505" s="1" t="str">
        <f>INT(K505)&amp;"°"&amp;INT(MOD(K505,1)*60)&amp;"'"&amp;
ROUND(MOD(MOD(K505,1)*60,1)*60,1)&amp;"""N"</f>
        <v>20°50'8.7"N</v>
      </c>
      <c r="P505" s="1" t="str">
        <f>INT(L505)&amp;"°"&amp;INT(MOD(L505,1)*60)&amp;"'"&amp;
ROUND(MOD(MOD(L505,1)*60,1)*60,1)&amp;"""E"</f>
        <v>106°40'45.3"E</v>
      </c>
      <c r="Q505" s="1" t="str">
        <f>O505 &amp; " " &amp; P505</f>
        <v>20°50'8.7"N 106°40'45.3"E</v>
      </c>
    </row>
    <row r="506" spans="1:17" ht="15.75" customHeight="1" x14ac:dyDescent="0.2">
      <c r="A506" s="1">
        <v>258</v>
      </c>
      <c r="B506" s="1" t="s">
        <v>959</v>
      </c>
      <c r="C506" s="1" t="s">
        <v>15</v>
      </c>
      <c r="D506" s="1" t="s">
        <v>16</v>
      </c>
      <c r="E506" s="1" t="s">
        <v>863</v>
      </c>
      <c r="F506" s="1" t="s">
        <v>864</v>
      </c>
      <c r="G506" s="1" t="s">
        <v>960</v>
      </c>
      <c r="H506" s="1" t="s">
        <v>961</v>
      </c>
      <c r="I506" s="1" t="s">
        <v>21</v>
      </c>
      <c r="J506" s="1" t="s">
        <v>22</v>
      </c>
      <c r="K506" s="2">
        <v>20.844961059999999</v>
      </c>
      <c r="L506" s="2">
        <v>105.87497218</v>
      </c>
      <c r="M506" s="1" t="s">
        <v>962</v>
      </c>
      <c r="N506" s="1" t="s">
        <v>864</v>
      </c>
      <c r="O506" s="1" t="str">
        <f>INT(K506)&amp;"°"&amp;INT(MOD(K506,1)*60)&amp;"'"&amp;
ROUND(MOD(MOD(K506,1)*60,1)*60,1)&amp;"""N"</f>
        <v>20°50'41.9"N</v>
      </c>
      <c r="P506" s="1" t="str">
        <f>INT(L506)&amp;"°"&amp;INT(MOD(L506,1)*60)&amp;"'"&amp;
ROUND(MOD(MOD(L506,1)*60,1)*60,1)&amp;"""E"</f>
        <v>105°52'29.9"E</v>
      </c>
      <c r="Q506" s="1" t="str">
        <f>O506 &amp; " " &amp; P506</f>
        <v>20°50'41.9"N 105°52'29.9"E</v>
      </c>
    </row>
    <row r="507" spans="1:17" ht="15.75" customHeight="1" x14ac:dyDescent="0.2">
      <c r="A507" s="1">
        <v>276</v>
      </c>
      <c r="B507" s="1" t="s">
        <v>1027</v>
      </c>
      <c r="C507" s="1" t="s">
        <v>15</v>
      </c>
      <c r="D507" s="1" t="s">
        <v>16</v>
      </c>
      <c r="E507" s="1" t="s">
        <v>1014</v>
      </c>
      <c r="F507" s="1" t="s">
        <v>1015</v>
      </c>
      <c r="G507" s="1" t="s">
        <v>1028</v>
      </c>
      <c r="H507" s="1" t="s">
        <v>1029</v>
      </c>
      <c r="I507" s="1" t="s">
        <v>21</v>
      </c>
      <c r="J507" s="1" t="s">
        <v>22</v>
      </c>
      <c r="K507" s="2">
        <v>20.850657980000001</v>
      </c>
      <c r="L507" s="2">
        <v>106.28857755999999</v>
      </c>
      <c r="M507" s="1" t="s">
        <v>1030</v>
      </c>
      <c r="N507" s="1" t="s">
        <v>1019</v>
      </c>
      <c r="O507" s="1" t="str">
        <f>INT(K507)&amp;"°"&amp;INT(MOD(K507,1)*60)&amp;"'"&amp;
ROUND(MOD(MOD(K507,1)*60,1)*60,1)&amp;"""N"</f>
        <v>20°51'2.4"N</v>
      </c>
      <c r="P507" s="1" t="str">
        <f>INT(L507)&amp;"°"&amp;INT(MOD(L507,1)*60)&amp;"'"&amp;
ROUND(MOD(MOD(L507,1)*60,1)*60,1)&amp;"""E"</f>
        <v>106°17'18.9"E</v>
      </c>
      <c r="Q507" s="1" t="str">
        <f>O507 &amp; " " &amp; P507</f>
        <v>20°51'2.4"N 106°17'18.9"E</v>
      </c>
    </row>
    <row r="508" spans="1:17" ht="15.75" customHeight="1" x14ac:dyDescent="0.2">
      <c r="A508" s="1">
        <v>255</v>
      </c>
      <c r="B508" s="1" t="s">
        <v>950</v>
      </c>
      <c r="C508" s="1" t="s">
        <v>15</v>
      </c>
      <c r="D508" s="1" t="s">
        <v>16</v>
      </c>
      <c r="E508" s="1" t="s">
        <v>863</v>
      </c>
      <c r="F508" s="1" t="s">
        <v>864</v>
      </c>
      <c r="G508" s="1" t="s">
        <v>951</v>
      </c>
      <c r="H508" s="1" t="s">
        <v>951</v>
      </c>
      <c r="I508" s="1" t="s">
        <v>21</v>
      </c>
      <c r="J508" s="1" t="s">
        <v>22</v>
      </c>
      <c r="K508" s="2">
        <v>20.855833069999999</v>
      </c>
      <c r="L508" s="2">
        <v>105.78098946</v>
      </c>
      <c r="M508" s="1" t="s">
        <v>951</v>
      </c>
      <c r="N508" s="1" t="s">
        <v>864</v>
      </c>
      <c r="O508" s="1" t="str">
        <f>INT(K508)&amp;"°"&amp;INT(MOD(K508,1)*60)&amp;"'"&amp;
ROUND(MOD(MOD(K508,1)*60,1)*60,1)&amp;"""N"</f>
        <v>20°51'21"N</v>
      </c>
      <c r="P508" s="1" t="str">
        <f>INT(L508)&amp;"°"&amp;INT(MOD(L508,1)*60)&amp;"'"&amp;
ROUND(MOD(MOD(L508,1)*60,1)*60,1)&amp;"""E"</f>
        <v>105°46'51.6"E</v>
      </c>
      <c r="Q508" s="1" t="str">
        <f>O508 &amp; " " &amp; P508</f>
        <v>20°51'21"N 105°46'51.6"E</v>
      </c>
    </row>
    <row r="509" spans="1:17" ht="15.75" customHeight="1" x14ac:dyDescent="0.2">
      <c r="A509" s="1">
        <v>296</v>
      </c>
      <c r="B509" s="1" t="s">
        <v>1092</v>
      </c>
      <c r="C509" s="1" t="s">
        <v>15</v>
      </c>
      <c r="D509" s="1" t="s">
        <v>16</v>
      </c>
      <c r="E509" s="1" t="s">
        <v>1059</v>
      </c>
      <c r="F509" s="1" t="s">
        <v>1019</v>
      </c>
      <c r="G509" s="1" t="s">
        <v>1093</v>
      </c>
      <c r="H509" s="1" t="s">
        <v>1094</v>
      </c>
      <c r="I509" s="1" t="s">
        <v>434</v>
      </c>
      <c r="J509" s="1" t="s">
        <v>435</v>
      </c>
      <c r="K509" s="2">
        <v>20.857109560000001</v>
      </c>
      <c r="L509" s="2">
        <v>106.70113843999999</v>
      </c>
      <c r="M509" s="1" t="s">
        <v>1093</v>
      </c>
      <c r="N509" s="1" t="s">
        <v>1019</v>
      </c>
      <c r="O509" s="1" t="str">
        <f>INT(K509)&amp;"°"&amp;INT(MOD(K509,1)*60)&amp;"'"&amp;
ROUND(MOD(MOD(K509,1)*60,1)*60,1)&amp;"""N"</f>
        <v>20°51'25.6"N</v>
      </c>
      <c r="P509" s="1" t="str">
        <f>INT(L509)&amp;"°"&amp;INT(MOD(L509,1)*60)&amp;"'"&amp;
ROUND(MOD(MOD(L509,1)*60,1)*60,1)&amp;"""E"</f>
        <v>106°42'4.1"E</v>
      </c>
      <c r="Q509" s="1" t="str">
        <f>O509 &amp; " " &amp; P509</f>
        <v>20°51'25.6"N 106°42'4.1"E</v>
      </c>
    </row>
    <row r="510" spans="1:17" ht="15.75" customHeight="1" x14ac:dyDescent="0.2">
      <c r="A510" s="1">
        <v>292</v>
      </c>
      <c r="B510" s="1" t="s">
        <v>1078</v>
      </c>
      <c r="C510" s="1" t="s">
        <v>15</v>
      </c>
      <c r="D510" s="1" t="s">
        <v>16</v>
      </c>
      <c r="E510" s="1" t="s">
        <v>1059</v>
      </c>
      <c r="F510" s="1" t="s">
        <v>1019</v>
      </c>
      <c r="G510" s="1" t="s">
        <v>1079</v>
      </c>
      <c r="H510" s="1" t="s">
        <v>1080</v>
      </c>
      <c r="I510" s="1" t="s">
        <v>434</v>
      </c>
      <c r="J510" s="1" t="s">
        <v>435</v>
      </c>
      <c r="K510" s="2">
        <v>20.871943030000001</v>
      </c>
      <c r="L510" s="2">
        <v>106.64833925000001</v>
      </c>
      <c r="M510" s="1" t="s">
        <v>1079</v>
      </c>
      <c r="N510" s="1" t="s">
        <v>1019</v>
      </c>
      <c r="O510" s="1" t="str">
        <f>INT(K510)&amp;"°"&amp;INT(MOD(K510,1)*60)&amp;"'"&amp;
ROUND(MOD(MOD(K510,1)*60,1)*60,1)&amp;"""N"</f>
        <v>20°52'19"N</v>
      </c>
      <c r="P510" s="1" t="str">
        <f>INT(L510)&amp;"°"&amp;INT(MOD(L510,1)*60)&amp;"'"&amp;
ROUND(MOD(MOD(L510,1)*60,1)*60,1)&amp;"""E"</f>
        <v>106°38'54"E</v>
      </c>
      <c r="Q510" s="1" t="str">
        <f>O510 &amp; " " &amp; P510</f>
        <v>20°52'19"N 106°38'54"E</v>
      </c>
    </row>
    <row r="511" spans="1:17" ht="15.75" customHeight="1" x14ac:dyDescent="0.2">
      <c r="A511" s="1">
        <v>273</v>
      </c>
      <c r="B511" s="1" t="s">
        <v>1013</v>
      </c>
      <c r="C511" s="1" t="s">
        <v>15</v>
      </c>
      <c r="D511" s="1" t="s">
        <v>16</v>
      </c>
      <c r="E511" s="1" t="s">
        <v>1014</v>
      </c>
      <c r="F511" s="1" t="s">
        <v>1015</v>
      </c>
      <c r="G511" s="1" t="s">
        <v>1016</v>
      </c>
      <c r="H511" s="1" t="s">
        <v>1017</v>
      </c>
      <c r="I511" s="1" t="s">
        <v>21</v>
      </c>
      <c r="J511" s="1" t="s">
        <v>22</v>
      </c>
      <c r="K511" s="2">
        <v>20.87358875</v>
      </c>
      <c r="L511" s="2">
        <v>106.18847242</v>
      </c>
      <c r="M511" s="1" t="s">
        <v>1018</v>
      </c>
      <c r="N511" s="1" t="s">
        <v>1019</v>
      </c>
      <c r="O511" s="1" t="str">
        <f>INT(K511)&amp;"°"&amp;INT(MOD(K511,1)*60)&amp;"'"&amp;
ROUND(MOD(MOD(K511,1)*60,1)*60,1)&amp;"""N"</f>
        <v>20°52'24.9"N</v>
      </c>
      <c r="P511" s="1" t="str">
        <f>INT(L511)&amp;"°"&amp;INT(MOD(L511,1)*60)&amp;"'"&amp;
ROUND(MOD(MOD(L511,1)*60,1)*60,1)&amp;"""E"</f>
        <v>106°11'18.5"E</v>
      </c>
      <c r="Q511" s="1" t="str">
        <f>O511 &amp; " " &amp; P511</f>
        <v>20°52'24.9"N 106°11'18.5"E</v>
      </c>
    </row>
    <row r="512" spans="1:17" ht="15.75" customHeight="1" x14ac:dyDescent="0.2">
      <c r="A512" s="1">
        <v>234</v>
      </c>
      <c r="B512" s="1" t="s">
        <v>878</v>
      </c>
      <c r="C512" s="1" t="s">
        <v>15</v>
      </c>
      <c r="D512" s="1" t="s">
        <v>16</v>
      </c>
      <c r="E512" s="1" t="s">
        <v>863</v>
      </c>
      <c r="F512" s="1" t="s">
        <v>864</v>
      </c>
      <c r="G512" s="1" t="s">
        <v>879</v>
      </c>
      <c r="H512" s="1" t="s">
        <v>880</v>
      </c>
      <c r="I512" s="1" t="s">
        <v>21</v>
      </c>
      <c r="J512" s="1" t="s">
        <v>22</v>
      </c>
      <c r="K512" s="2">
        <v>20.87715133</v>
      </c>
      <c r="L512" s="2">
        <v>105.66054425999999</v>
      </c>
      <c r="M512" s="1" t="s">
        <v>152</v>
      </c>
      <c r="N512" s="1" t="s">
        <v>864</v>
      </c>
      <c r="O512" s="1" t="str">
        <f>INT(K512)&amp;"°"&amp;INT(MOD(K512,1)*60)&amp;"'"&amp;
ROUND(MOD(MOD(K512,1)*60,1)*60,1)&amp;"""N"</f>
        <v>20°52'37.7"N</v>
      </c>
      <c r="P512" s="1" t="str">
        <f>INT(L512)&amp;"°"&amp;INT(MOD(L512,1)*60)&amp;"'"&amp;
ROUND(MOD(MOD(L512,1)*60,1)*60,1)&amp;"""E"</f>
        <v>105°39'38"E</v>
      </c>
      <c r="Q512" s="1" t="str">
        <f>O512 &amp; " " &amp; P512</f>
        <v>20°52'37.7"N 105°39'38"E</v>
      </c>
    </row>
    <row r="513" spans="1:17" ht="15.75" customHeight="1" x14ac:dyDescent="0.2">
      <c r="A513" s="1">
        <v>285</v>
      </c>
      <c r="B513" s="1" t="s">
        <v>1058</v>
      </c>
      <c r="C513" s="1" t="s">
        <v>15</v>
      </c>
      <c r="D513" s="1" t="s">
        <v>16</v>
      </c>
      <c r="E513" s="1" t="s">
        <v>1059</v>
      </c>
      <c r="F513" s="1" t="s">
        <v>1019</v>
      </c>
      <c r="G513" s="1" t="s">
        <v>1060</v>
      </c>
      <c r="H513" s="1" t="s">
        <v>1061</v>
      </c>
      <c r="I513" s="1" t="s">
        <v>21</v>
      </c>
      <c r="J513" s="1" t="s">
        <v>22</v>
      </c>
      <c r="K513" s="2">
        <v>20.880634319999999</v>
      </c>
      <c r="L513" s="2">
        <v>106.59154667999999</v>
      </c>
      <c r="M513" s="1" t="s">
        <v>1060</v>
      </c>
      <c r="N513" s="1" t="s">
        <v>1019</v>
      </c>
      <c r="O513" s="1" t="str">
        <f>INT(K513)&amp;"°"&amp;INT(MOD(K513,1)*60)&amp;"'"&amp;
ROUND(MOD(MOD(K513,1)*60,1)*60,1)&amp;"""N"</f>
        <v>20°52'50.3"N</v>
      </c>
      <c r="P513" s="1" t="str">
        <f>INT(L513)&amp;"°"&amp;INT(MOD(L513,1)*60)&amp;"'"&amp;
ROUND(MOD(MOD(L513,1)*60,1)*60,1)&amp;"""E"</f>
        <v>106°35'29.6"E</v>
      </c>
      <c r="Q513" s="1" t="str">
        <f>O513 &amp; " " &amp; P513</f>
        <v>20°52'50.3"N 106°35'29.6"E</v>
      </c>
    </row>
    <row r="514" spans="1:17" ht="15.75" customHeight="1" x14ac:dyDescent="0.2">
      <c r="A514" s="1">
        <v>586</v>
      </c>
      <c r="B514" s="1" t="s">
        <v>2128</v>
      </c>
      <c r="C514" s="1" t="s">
        <v>15</v>
      </c>
      <c r="D514" s="1" t="s">
        <v>16</v>
      </c>
      <c r="E514" s="1" t="s">
        <v>2120</v>
      </c>
      <c r="F514" s="1" t="s">
        <v>2121</v>
      </c>
      <c r="G514" s="1" t="s">
        <v>2129</v>
      </c>
      <c r="H514" s="1" t="s">
        <v>2130</v>
      </c>
      <c r="I514" s="1" t="s">
        <v>21</v>
      </c>
      <c r="J514" s="1" t="s">
        <v>22</v>
      </c>
      <c r="K514" s="2">
        <v>20.881115909999998</v>
      </c>
      <c r="L514" s="2">
        <v>104.62100272000001</v>
      </c>
      <c r="M514" s="1" t="s">
        <v>2129</v>
      </c>
      <c r="N514" s="1" t="s">
        <v>2121</v>
      </c>
      <c r="O514" s="1" t="str">
        <f>INT(K514)&amp;"°"&amp;INT(MOD(K514,1)*60)&amp;"'"&amp;
ROUND(MOD(MOD(K514,1)*60,1)*60,1)&amp;"""N"</f>
        <v>20°52'52"N</v>
      </c>
      <c r="P514" s="1" t="str">
        <f>INT(L514)&amp;"°"&amp;INT(MOD(L514,1)*60)&amp;"'"&amp;
ROUND(MOD(MOD(L514,1)*60,1)*60,1)&amp;"""E"</f>
        <v>104°37'15.6"E</v>
      </c>
      <c r="Q514" s="1" t="str">
        <f>O514 &amp; " " &amp; P514</f>
        <v>20°52'52"N 104°37'15.6"E</v>
      </c>
    </row>
    <row r="515" spans="1:17" ht="15.75" customHeight="1" x14ac:dyDescent="0.2">
      <c r="A515" s="1">
        <v>592</v>
      </c>
      <c r="B515" s="1" t="s">
        <v>2147</v>
      </c>
      <c r="C515" s="1" t="s">
        <v>15</v>
      </c>
      <c r="D515" s="1" t="s">
        <v>16</v>
      </c>
      <c r="E515" s="1" t="s">
        <v>2120</v>
      </c>
      <c r="F515" s="1" t="s">
        <v>2121</v>
      </c>
      <c r="G515" s="1" t="s">
        <v>2148</v>
      </c>
      <c r="H515" s="1" t="s">
        <v>2149</v>
      </c>
      <c r="I515" s="1" t="s">
        <v>21</v>
      </c>
      <c r="J515" s="1" t="s">
        <v>22</v>
      </c>
      <c r="K515" s="2">
        <v>20.887127400000001</v>
      </c>
      <c r="L515" s="2">
        <v>103.5122143</v>
      </c>
      <c r="M515" s="1" t="s">
        <v>2148</v>
      </c>
      <c r="N515" s="1" t="s">
        <v>2121</v>
      </c>
      <c r="O515" s="1" t="str">
        <f>INT(K515)&amp;"°"&amp;INT(MOD(K515,1)*60)&amp;"'"&amp;
ROUND(MOD(MOD(K515,1)*60,1)*60,1)&amp;"""N"</f>
        <v>20°53'13.7"N</v>
      </c>
      <c r="P515" s="1" t="str">
        <f>INT(L515)&amp;"°"&amp;INT(MOD(L515,1)*60)&amp;"'"&amp;
ROUND(MOD(MOD(L515,1)*60,1)*60,1)&amp;"""E"</f>
        <v>103°30'44"E</v>
      </c>
      <c r="Q515" s="1" t="str">
        <f>O515 &amp; " " &amp; P515</f>
        <v>20°53'13.7"N 103°30'44"E</v>
      </c>
    </row>
    <row r="516" spans="1:17" ht="15.75" customHeight="1" x14ac:dyDescent="0.2">
      <c r="A516" s="1">
        <v>352</v>
      </c>
      <c r="B516" s="1" t="s">
        <v>1292</v>
      </c>
      <c r="C516" s="1" t="s">
        <v>15</v>
      </c>
      <c r="D516" s="1" t="s">
        <v>16</v>
      </c>
      <c r="E516" s="1" t="s">
        <v>1260</v>
      </c>
      <c r="F516" s="1" t="s">
        <v>1261</v>
      </c>
      <c r="G516" s="1" t="s">
        <v>1293</v>
      </c>
      <c r="H516" s="1" t="s">
        <v>1294</v>
      </c>
      <c r="I516" s="1" t="s">
        <v>21</v>
      </c>
      <c r="J516" s="1" t="s">
        <v>22</v>
      </c>
      <c r="K516" s="2">
        <v>20.89139321</v>
      </c>
      <c r="L516" s="2">
        <v>106.02764144</v>
      </c>
      <c r="M516" s="1" t="s">
        <v>123</v>
      </c>
      <c r="N516" s="1" t="s">
        <v>1261</v>
      </c>
      <c r="O516" s="1" t="str">
        <f>INT(K516)&amp;"°"&amp;INT(MOD(K516,1)*60)&amp;"'"&amp;
ROUND(MOD(MOD(K516,1)*60,1)*60,1)&amp;"""N"</f>
        <v>20°53'29"N</v>
      </c>
      <c r="P516" s="1" t="str">
        <f>INT(L516)&amp;"°"&amp;INT(MOD(L516,1)*60)&amp;"'"&amp;
ROUND(MOD(MOD(L516,1)*60,1)*60,1)&amp;"""E"</f>
        <v>106°1'39.5"E</v>
      </c>
      <c r="Q516" s="1" t="str">
        <f>O516 &amp; " " &amp; P516</f>
        <v>20°53'29"N 106°1'39.5"E</v>
      </c>
    </row>
    <row r="517" spans="1:17" ht="15.75" customHeight="1" x14ac:dyDescent="0.2">
      <c r="A517" s="1">
        <v>282</v>
      </c>
      <c r="B517" s="1" t="s">
        <v>1048</v>
      </c>
      <c r="C517" s="1" t="s">
        <v>15</v>
      </c>
      <c r="D517" s="1" t="s">
        <v>16</v>
      </c>
      <c r="E517" s="1" t="s">
        <v>1014</v>
      </c>
      <c r="F517" s="1" t="s">
        <v>1015</v>
      </c>
      <c r="G517" s="1" t="s">
        <v>1049</v>
      </c>
      <c r="H517" s="1" t="s">
        <v>1050</v>
      </c>
      <c r="I517" s="1" t="s">
        <v>21</v>
      </c>
      <c r="J517" s="1" t="s">
        <v>22</v>
      </c>
      <c r="K517" s="2">
        <v>20.894843760000001</v>
      </c>
      <c r="L517" s="2">
        <v>106.43220221999999</v>
      </c>
      <c r="M517" s="1" t="s">
        <v>1049</v>
      </c>
      <c r="N517" s="1" t="s">
        <v>1019</v>
      </c>
      <c r="O517" s="1" t="str">
        <f>INT(K517)&amp;"°"&amp;INT(MOD(K517,1)*60)&amp;"'"&amp;
ROUND(MOD(MOD(K517,1)*60,1)*60,1)&amp;"""N"</f>
        <v>20°53'41.4"N</v>
      </c>
      <c r="P517" s="1" t="str">
        <f>INT(L517)&amp;"°"&amp;INT(MOD(L517,1)*60)&amp;"'"&amp;
ROUND(MOD(MOD(L517,1)*60,1)*60,1)&amp;"""E"</f>
        <v>106°25'55.9"E</v>
      </c>
      <c r="Q517" s="1" t="str">
        <f>O517 &amp; " " &amp; P517</f>
        <v>20°53'41.4"N 106°25'55.9"E</v>
      </c>
    </row>
    <row r="518" spans="1:17" ht="15.75" customHeight="1" x14ac:dyDescent="0.2">
      <c r="A518" s="1">
        <v>333</v>
      </c>
      <c r="B518" s="1" t="s">
        <v>1226</v>
      </c>
      <c r="C518" s="1" t="s">
        <v>15</v>
      </c>
      <c r="D518" s="1" t="s">
        <v>16</v>
      </c>
      <c r="E518" s="1" t="s">
        <v>1223</v>
      </c>
      <c r="F518" s="1" t="s">
        <v>177</v>
      </c>
      <c r="G518" s="1" t="s">
        <v>1227</v>
      </c>
      <c r="H518" s="1" t="s">
        <v>1228</v>
      </c>
      <c r="I518" s="1" t="s">
        <v>21</v>
      </c>
      <c r="J518" s="1" t="s">
        <v>22</v>
      </c>
      <c r="K518" s="2">
        <v>20.90920264</v>
      </c>
      <c r="L518" s="2">
        <v>105.09354415</v>
      </c>
      <c r="M518" s="1" t="s">
        <v>1229</v>
      </c>
      <c r="N518" s="1" t="s">
        <v>1225</v>
      </c>
      <c r="O518" s="1" t="str">
        <f>INT(K518)&amp;"°"&amp;INT(MOD(K518,1)*60)&amp;"'"&amp;
ROUND(MOD(MOD(K518,1)*60,1)*60,1)&amp;"""N"</f>
        <v>20°54'33.1"N</v>
      </c>
      <c r="P518" s="1" t="str">
        <f>INT(L518)&amp;"°"&amp;INT(MOD(L518,1)*60)&amp;"'"&amp;
ROUND(MOD(MOD(L518,1)*60,1)*60,1)&amp;"""E"</f>
        <v>105°5'36.8"E</v>
      </c>
      <c r="Q518" s="1" t="str">
        <f>O518 &amp; " " &amp; P518</f>
        <v>20°54'33.1"N 105°5'36.8"E</v>
      </c>
    </row>
    <row r="519" spans="1:17" ht="15.75" customHeight="1" x14ac:dyDescent="0.2">
      <c r="A519" s="1">
        <v>336</v>
      </c>
      <c r="B519" s="1" t="s">
        <v>1235</v>
      </c>
      <c r="C519" s="1" t="s">
        <v>15</v>
      </c>
      <c r="D519" s="1" t="s">
        <v>16</v>
      </c>
      <c r="E519" s="1" t="s">
        <v>1223</v>
      </c>
      <c r="F519" s="1" t="s">
        <v>177</v>
      </c>
      <c r="G519" s="1" t="s">
        <v>1236</v>
      </c>
      <c r="H519" s="1" t="s">
        <v>1237</v>
      </c>
      <c r="I519" s="1" t="s">
        <v>21</v>
      </c>
      <c r="J519" s="1" t="s">
        <v>22</v>
      </c>
      <c r="K519" s="2">
        <v>20.919660629999999</v>
      </c>
      <c r="L519" s="2">
        <v>105.39423875999999</v>
      </c>
      <c r="M519" s="1" t="s">
        <v>1236</v>
      </c>
      <c r="N519" s="1" t="s">
        <v>1225</v>
      </c>
      <c r="O519" s="1" t="str">
        <f>INT(K519)&amp;"°"&amp;INT(MOD(K519,1)*60)&amp;"'"&amp;
ROUND(MOD(MOD(K519,1)*60,1)*60,1)&amp;"""N"</f>
        <v>20°55'10.8"N</v>
      </c>
      <c r="P519" s="1" t="str">
        <f>INT(L519)&amp;"°"&amp;INT(MOD(L519,1)*60)&amp;"'"&amp;
ROUND(MOD(MOD(L519,1)*60,1)*60,1)&amp;"""E"</f>
        <v>105°23'39.3"E</v>
      </c>
      <c r="Q519" s="1" t="str">
        <f>O519 &amp; " " &amp; P519</f>
        <v>20°55'10.8"N 105°23'39.3"E</v>
      </c>
    </row>
    <row r="520" spans="1:17" ht="15.75" customHeight="1" x14ac:dyDescent="0.2">
      <c r="A520" s="1">
        <v>559</v>
      </c>
      <c r="B520" s="1" t="s">
        <v>2032</v>
      </c>
      <c r="C520" s="1" t="s">
        <v>15</v>
      </c>
      <c r="D520" s="1" t="s">
        <v>16</v>
      </c>
      <c r="E520" s="1" t="s">
        <v>1995</v>
      </c>
      <c r="F520" s="1" t="s">
        <v>1869</v>
      </c>
      <c r="G520" s="1" t="s">
        <v>2033</v>
      </c>
      <c r="H520" s="1" t="s">
        <v>2034</v>
      </c>
      <c r="I520" s="1" t="s">
        <v>53</v>
      </c>
      <c r="J520" s="1" t="s">
        <v>54</v>
      </c>
      <c r="K520" s="2">
        <v>20.92587838</v>
      </c>
      <c r="L520" s="2">
        <v>106.83745774</v>
      </c>
      <c r="M520" s="1" t="s">
        <v>2035</v>
      </c>
      <c r="N520" s="1" t="s">
        <v>1869</v>
      </c>
      <c r="O520" s="1" t="str">
        <f>INT(K520)&amp;"°"&amp;INT(MOD(K520,1)*60)&amp;"'"&amp;
ROUND(MOD(MOD(K520,1)*60,1)*60,1)&amp;"""N"</f>
        <v>20°55'33.2"N</v>
      </c>
      <c r="P520" s="1" t="str">
        <f>INT(L520)&amp;"°"&amp;INT(MOD(L520,1)*60)&amp;"'"&amp;
ROUND(MOD(MOD(L520,1)*60,1)*60,1)&amp;"""E"</f>
        <v>106°50'14.8"E</v>
      </c>
      <c r="Q520" s="1" t="str">
        <f>O520 &amp; " " &amp; P520</f>
        <v>20°55'33.2"N 106°50'14.8"E</v>
      </c>
    </row>
    <row r="521" spans="1:17" ht="15.75" customHeight="1" x14ac:dyDescent="0.2">
      <c r="A521" s="1">
        <v>347</v>
      </c>
      <c r="B521" s="1" t="s">
        <v>1274</v>
      </c>
      <c r="C521" s="1" t="s">
        <v>15</v>
      </c>
      <c r="D521" s="1" t="s">
        <v>16</v>
      </c>
      <c r="E521" s="1" t="s">
        <v>1260</v>
      </c>
      <c r="F521" s="1" t="s">
        <v>1261</v>
      </c>
      <c r="G521" s="1" t="s">
        <v>1275</v>
      </c>
      <c r="H521" s="1" t="s">
        <v>1276</v>
      </c>
      <c r="I521" s="1" t="s">
        <v>21</v>
      </c>
      <c r="J521" s="1" t="s">
        <v>22</v>
      </c>
      <c r="K521" s="2">
        <v>20.930892239999999</v>
      </c>
      <c r="L521" s="2">
        <v>106.09977585</v>
      </c>
      <c r="M521" s="1" t="s">
        <v>1275</v>
      </c>
      <c r="N521" s="1" t="s">
        <v>1261</v>
      </c>
      <c r="O521" s="1" t="str">
        <f>INT(K521)&amp;"°"&amp;INT(MOD(K521,1)*60)&amp;"'"&amp;
ROUND(MOD(MOD(K521,1)*60,1)*60,1)&amp;"""N"</f>
        <v>20°55'51.2"N</v>
      </c>
      <c r="P521" s="1" t="str">
        <f>INT(L521)&amp;"°"&amp;INT(MOD(L521,1)*60)&amp;"'"&amp;
ROUND(MOD(MOD(L521,1)*60,1)*60,1)&amp;"""E"</f>
        <v>106°5'59.2"E</v>
      </c>
      <c r="Q521" s="1" t="str">
        <f>O521 &amp; " " &amp; P521</f>
        <v>20°55'51.2"N 106°5'59.2"E</v>
      </c>
    </row>
    <row r="522" spans="1:17" ht="15.75" customHeight="1" x14ac:dyDescent="0.2">
      <c r="A522" s="1">
        <v>350</v>
      </c>
      <c r="B522" s="1" t="s">
        <v>1284</v>
      </c>
      <c r="C522" s="1" t="s">
        <v>15</v>
      </c>
      <c r="D522" s="1" t="s">
        <v>16</v>
      </c>
      <c r="E522" s="1" t="s">
        <v>1260</v>
      </c>
      <c r="F522" s="1" t="s">
        <v>1261</v>
      </c>
      <c r="G522" s="1" t="s">
        <v>1285</v>
      </c>
      <c r="H522" s="1" t="s">
        <v>1286</v>
      </c>
      <c r="I522" s="1" t="s">
        <v>21</v>
      </c>
      <c r="J522" s="1" t="s">
        <v>22</v>
      </c>
      <c r="K522" s="2">
        <v>20.932521170000001</v>
      </c>
      <c r="L522" s="2">
        <v>105.94905036999999</v>
      </c>
      <c r="M522" s="1" t="s">
        <v>1287</v>
      </c>
      <c r="N522" s="1" t="s">
        <v>1261</v>
      </c>
      <c r="O522" s="1" t="str">
        <f>INT(K522)&amp;"°"&amp;INT(MOD(K522,1)*60)&amp;"'"&amp;
ROUND(MOD(MOD(K522,1)*60,1)*60,1)&amp;"""N"</f>
        <v>20°55'57.1"N</v>
      </c>
      <c r="P522" s="1" t="str">
        <f>INT(L522)&amp;"°"&amp;INT(MOD(L522,1)*60)&amp;"'"&amp;
ROUND(MOD(MOD(L522,1)*60,1)*60,1)&amp;"""E"</f>
        <v>105°56'56.6"E</v>
      </c>
      <c r="Q522" s="1" t="str">
        <f>O522 &amp; " " &amp; P522</f>
        <v>20°55'57.1"N 105°56'56.6"E</v>
      </c>
    </row>
    <row r="523" spans="1:17" ht="15.75" customHeight="1" x14ac:dyDescent="0.2">
      <c r="A523" s="1">
        <v>256</v>
      </c>
      <c r="B523" s="1" t="s">
        <v>952</v>
      </c>
      <c r="C523" s="1" t="s">
        <v>15</v>
      </c>
      <c r="D523" s="1" t="s">
        <v>16</v>
      </c>
      <c r="E523" s="1" t="s">
        <v>863</v>
      </c>
      <c r="F523" s="1" t="s">
        <v>864</v>
      </c>
      <c r="G523" s="1" t="s">
        <v>953</v>
      </c>
      <c r="H523" s="1" t="s">
        <v>954</v>
      </c>
      <c r="I523" s="1" t="s">
        <v>21</v>
      </c>
      <c r="J523" s="1" t="s">
        <v>22</v>
      </c>
      <c r="K523" s="2">
        <v>20.932671819999999</v>
      </c>
      <c r="L523" s="2">
        <v>105.84123185999999</v>
      </c>
      <c r="M523" s="1" t="s">
        <v>953</v>
      </c>
      <c r="N523" s="1" t="s">
        <v>864</v>
      </c>
      <c r="O523" s="1" t="str">
        <f>INT(K523)&amp;"°"&amp;INT(MOD(K523,1)*60)&amp;"'"&amp;
ROUND(MOD(MOD(K523,1)*60,1)*60,1)&amp;"""N"</f>
        <v>20°55'57.6"N</v>
      </c>
      <c r="P523" s="1" t="str">
        <f>INT(L523)&amp;"°"&amp;INT(MOD(L523,1)*60)&amp;"'"&amp;
ROUND(MOD(MOD(L523,1)*60,1)*60,1)&amp;"""E"</f>
        <v>105°50'28.4"E</v>
      </c>
      <c r="Q523" s="1" t="str">
        <f>O523 &amp; " " &amp; P523</f>
        <v>20°55'57.6"N 105°50'28.4"E</v>
      </c>
    </row>
    <row r="524" spans="1:17" ht="15.75" customHeight="1" x14ac:dyDescent="0.2">
      <c r="A524" s="1">
        <v>278</v>
      </c>
      <c r="B524" s="1" t="s">
        <v>1034</v>
      </c>
      <c r="C524" s="1" t="s">
        <v>15</v>
      </c>
      <c r="D524" s="1" t="s">
        <v>16</v>
      </c>
      <c r="E524" s="1" t="s">
        <v>1014</v>
      </c>
      <c r="F524" s="1" t="s">
        <v>1015</v>
      </c>
      <c r="G524" s="1" t="s">
        <v>1035</v>
      </c>
      <c r="H524" s="1" t="s">
        <v>1036</v>
      </c>
      <c r="I524" s="1" t="s">
        <v>21</v>
      </c>
      <c r="J524" s="1" t="s">
        <v>22</v>
      </c>
      <c r="K524" s="2">
        <v>20.935974900000001</v>
      </c>
      <c r="L524" s="2">
        <v>106.48874234</v>
      </c>
      <c r="M524" s="1" t="s">
        <v>1037</v>
      </c>
      <c r="N524" s="1" t="s">
        <v>1019</v>
      </c>
      <c r="O524" s="1" t="str">
        <f>INT(K524)&amp;"°"&amp;INT(MOD(K524,1)*60)&amp;"'"&amp;
ROUND(MOD(MOD(K524,1)*60,1)*60,1)&amp;"""N"</f>
        <v>20°56'9.5"N</v>
      </c>
      <c r="P524" s="1" t="str">
        <f>INT(L524)&amp;"°"&amp;INT(MOD(L524,1)*60)&amp;"'"&amp;
ROUND(MOD(MOD(L524,1)*60,1)*60,1)&amp;"""E"</f>
        <v>106°29'19.5"E</v>
      </c>
      <c r="Q524" s="1" t="str">
        <f>O524 &amp; " " &amp; P524</f>
        <v>20°56'9.5"N 106°29'19.5"E</v>
      </c>
    </row>
    <row r="525" spans="1:17" ht="15.75" customHeight="1" x14ac:dyDescent="0.2">
      <c r="A525" s="1">
        <v>277</v>
      </c>
      <c r="B525" s="1" t="s">
        <v>1031</v>
      </c>
      <c r="C525" s="1" t="s">
        <v>15</v>
      </c>
      <c r="D525" s="1" t="s">
        <v>16</v>
      </c>
      <c r="E525" s="1" t="s">
        <v>1014</v>
      </c>
      <c r="F525" s="1" t="s">
        <v>1015</v>
      </c>
      <c r="G525" s="1" t="s">
        <v>1015</v>
      </c>
      <c r="H525" s="1" t="s">
        <v>1032</v>
      </c>
      <c r="I525" s="1" t="s">
        <v>27</v>
      </c>
      <c r="J525" s="1" t="s">
        <v>28</v>
      </c>
      <c r="K525" s="2">
        <v>20.939676760000001</v>
      </c>
      <c r="L525" s="2">
        <v>106.32839464</v>
      </c>
      <c r="M525" s="1" t="s">
        <v>1033</v>
      </c>
      <c r="N525" s="1" t="s">
        <v>1019</v>
      </c>
      <c r="O525" s="1" t="str">
        <f>INT(K525)&amp;"°"&amp;INT(MOD(K525,1)*60)&amp;"'"&amp;
ROUND(MOD(MOD(K525,1)*60,1)*60,1)&amp;"""N"</f>
        <v>20°56'22.8"N</v>
      </c>
      <c r="P525" s="1" t="str">
        <f>INT(L525)&amp;"°"&amp;INT(MOD(L525,1)*60)&amp;"'"&amp;
ROUND(MOD(MOD(L525,1)*60,1)*60,1)&amp;"""E"</f>
        <v>106°19'42.2"E</v>
      </c>
      <c r="Q525" s="1" t="str">
        <f>O525 &amp; " " &amp; P525</f>
        <v>20°56'22.8"N 106°19'42.2"E</v>
      </c>
    </row>
    <row r="526" spans="1:17" ht="15.75" customHeight="1" x14ac:dyDescent="0.2">
      <c r="A526" s="1">
        <v>297</v>
      </c>
      <c r="B526" s="1" t="s">
        <v>1095</v>
      </c>
      <c r="C526" s="1" t="s">
        <v>15</v>
      </c>
      <c r="D526" s="1" t="s">
        <v>16</v>
      </c>
      <c r="E526" s="1" t="s">
        <v>1059</v>
      </c>
      <c r="F526" s="1" t="s">
        <v>1019</v>
      </c>
      <c r="G526" s="1" t="s">
        <v>1096</v>
      </c>
      <c r="H526" s="1" t="s">
        <v>1097</v>
      </c>
      <c r="I526" s="1" t="s">
        <v>21</v>
      </c>
      <c r="J526" s="1" t="s">
        <v>22</v>
      </c>
      <c r="K526" s="2">
        <v>20.94752536</v>
      </c>
      <c r="L526" s="2">
        <v>106.67548078999999</v>
      </c>
      <c r="M526" s="1" t="s">
        <v>177</v>
      </c>
      <c r="N526" s="1" t="s">
        <v>1019</v>
      </c>
      <c r="O526" s="1" t="str">
        <f>INT(K526)&amp;"°"&amp;INT(MOD(K526,1)*60)&amp;"'"&amp;
ROUND(MOD(MOD(K526,1)*60,1)*60,1)&amp;"""N"</f>
        <v>20°56'51.1"N</v>
      </c>
      <c r="P526" s="1" t="str">
        <f>INT(L526)&amp;"°"&amp;INT(MOD(L526,1)*60)&amp;"'"&amp;
ROUND(MOD(MOD(L526,1)*60,1)*60,1)&amp;"""E"</f>
        <v>106°40'31.7"E</v>
      </c>
      <c r="Q526" s="1" t="str">
        <f>O526 &amp; " " &amp; P526</f>
        <v>20°56'51.1"N 106°40'31.7"E</v>
      </c>
    </row>
    <row r="527" spans="1:17" ht="15.75" customHeight="1" x14ac:dyDescent="0.2">
      <c r="A527" s="1">
        <v>239</v>
      </c>
      <c r="B527" s="1" t="s">
        <v>894</v>
      </c>
      <c r="C527" s="1" t="s">
        <v>15</v>
      </c>
      <c r="D527" s="1" t="s">
        <v>16</v>
      </c>
      <c r="E527" s="1" t="s">
        <v>863</v>
      </c>
      <c r="F527" s="1" t="s">
        <v>864</v>
      </c>
      <c r="G527" s="1" t="s">
        <v>895</v>
      </c>
      <c r="H527" s="1" t="s">
        <v>896</v>
      </c>
      <c r="I527" s="1" t="s">
        <v>434</v>
      </c>
      <c r="J527" s="1" t="s">
        <v>435</v>
      </c>
      <c r="K527" s="2">
        <v>20.953569999999999</v>
      </c>
      <c r="L527" s="2">
        <v>105.75695344</v>
      </c>
      <c r="M527" s="1" t="s">
        <v>897</v>
      </c>
      <c r="N527" s="1" t="s">
        <v>864</v>
      </c>
      <c r="O527" s="1" t="str">
        <f>INT(K527)&amp;"°"&amp;INT(MOD(K527,1)*60)&amp;"'"&amp;
ROUND(MOD(MOD(K527,1)*60,1)*60,1)&amp;"""N"</f>
        <v>20°57'12.9"N</v>
      </c>
      <c r="P527" s="1" t="str">
        <f>INT(L527)&amp;"°"&amp;INT(MOD(L527,1)*60)&amp;"'"&amp;
ROUND(MOD(MOD(L527,1)*60,1)*60,1)&amp;"""E"</f>
        <v>105°45'25"E</v>
      </c>
      <c r="Q527" s="1" t="str">
        <f>O527 &amp; " " &amp; P527</f>
        <v>20°57'12.9"N 105°45'25"E</v>
      </c>
    </row>
    <row r="528" spans="1:17" ht="15.75" customHeight="1" x14ac:dyDescent="0.2">
      <c r="A528" s="1">
        <v>274</v>
      </c>
      <c r="B528" s="1" t="s">
        <v>1020</v>
      </c>
      <c r="C528" s="1" t="s">
        <v>15</v>
      </c>
      <c r="D528" s="1" t="s">
        <v>16</v>
      </c>
      <c r="E528" s="1" t="s">
        <v>1014</v>
      </c>
      <c r="F528" s="1" t="s">
        <v>1015</v>
      </c>
      <c r="G528" s="1" t="s">
        <v>143</v>
      </c>
      <c r="H528" s="1" t="s">
        <v>1021</v>
      </c>
      <c r="I528" s="1" t="s">
        <v>21</v>
      </c>
      <c r="J528" s="1" t="s">
        <v>22</v>
      </c>
      <c r="K528" s="2">
        <v>20.954617370000001</v>
      </c>
      <c r="L528" s="2">
        <v>106.21505879999999</v>
      </c>
      <c r="M528" s="1" t="s">
        <v>1022</v>
      </c>
      <c r="N528" s="1" t="s">
        <v>1019</v>
      </c>
      <c r="O528" s="1" t="str">
        <f>INT(K528)&amp;"°"&amp;INT(MOD(K528,1)*60)&amp;"'"&amp;
ROUND(MOD(MOD(K528,1)*60,1)*60,1)&amp;"""N"</f>
        <v>20°57'16.6"N</v>
      </c>
      <c r="P528" s="1" t="str">
        <f>INT(L528)&amp;"°"&amp;INT(MOD(L528,1)*60)&amp;"'"&amp;
ROUND(MOD(MOD(L528,1)*60,1)*60,1)&amp;"""E"</f>
        <v>106°12'54.2"E</v>
      </c>
      <c r="Q528" s="1" t="str">
        <f>O528 &amp; " " &amp; P528</f>
        <v>20°57'16.6"N 106°12'54.2"E</v>
      </c>
    </row>
    <row r="529" spans="1:17" ht="15.75" customHeight="1" x14ac:dyDescent="0.2">
      <c r="A529" s="1">
        <v>250</v>
      </c>
      <c r="B529" s="1" t="s">
        <v>932</v>
      </c>
      <c r="C529" s="1" t="s">
        <v>15</v>
      </c>
      <c r="D529" s="1" t="s">
        <v>16</v>
      </c>
      <c r="E529" s="1" t="s">
        <v>863</v>
      </c>
      <c r="F529" s="1" t="s">
        <v>864</v>
      </c>
      <c r="G529" s="1" t="s">
        <v>933</v>
      </c>
      <c r="H529" s="1" t="s">
        <v>934</v>
      </c>
      <c r="I529" s="1" t="s">
        <v>21</v>
      </c>
      <c r="J529" s="1" t="s">
        <v>22</v>
      </c>
      <c r="K529" s="2">
        <v>20.96767685</v>
      </c>
      <c r="L529" s="2">
        <v>105.59785368</v>
      </c>
      <c r="M529" s="1" t="s">
        <v>935</v>
      </c>
      <c r="N529" s="1" t="s">
        <v>864</v>
      </c>
      <c r="O529" s="1" t="str">
        <f>INT(K529)&amp;"°"&amp;INT(MOD(K529,1)*60)&amp;"'"&amp;
ROUND(MOD(MOD(K529,1)*60,1)*60,1)&amp;"""N"</f>
        <v>20°58'3.6"N</v>
      </c>
      <c r="P529" s="1" t="str">
        <f>INT(L529)&amp;"°"&amp;INT(MOD(L529,1)*60)&amp;"'"&amp;
ROUND(MOD(MOD(L529,1)*60,1)*60,1)&amp;"""E"</f>
        <v>105°35'52.3"E</v>
      </c>
      <c r="Q529" s="1" t="str">
        <f>O529 &amp; " " &amp; P529</f>
        <v>20°58'3.6"N 105°35'52.3"E</v>
      </c>
    </row>
    <row r="530" spans="1:17" ht="15.75" customHeight="1" x14ac:dyDescent="0.2">
      <c r="A530" s="1">
        <v>243</v>
      </c>
      <c r="B530" s="1" t="s">
        <v>909</v>
      </c>
      <c r="C530" s="1" t="s">
        <v>15</v>
      </c>
      <c r="D530" s="1" t="s">
        <v>16</v>
      </c>
      <c r="E530" s="1" t="s">
        <v>863</v>
      </c>
      <c r="F530" s="1" t="s">
        <v>864</v>
      </c>
      <c r="G530" s="1" t="s">
        <v>910</v>
      </c>
      <c r="H530" s="1" t="s">
        <v>911</v>
      </c>
      <c r="I530" s="1" t="s">
        <v>434</v>
      </c>
      <c r="J530" s="1" t="s">
        <v>435</v>
      </c>
      <c r="K530" s="2">
        <v>20.97446849</v>
      </c>
      <c r="L530" s="2">
        <v>105.86340045999999</v>
      </c>
      <c r="M530" s="1" t="s">
        <v>910</v>
      </c>
      <c r="N530" s="1" t="s">
        <v>864</v>
      </c>
      <c r="O530" s="1" t="str">
        <f>INT(K530)&amp;"°"&amp;INT(MOD(K530,1)*60)&amp;"'"&amp;
ROUND(MOD(MOD(K530,1)*60,1)*60,1)&amp;"""N"</f>
        <v>20°58'28.1"N</v>
      </c>
      <c r="P530" s="1" t="str">
        <f>INT(L530)&amp;"°"&amp;INT(MOD(L530,1)*60)&amp;"'"&amp;
ROUND(MOD(MOD(L530,1)*60,1)*60,1)&amp;"""E"</f>
        <v>105°51'48.2"E</v>
      </c>
      <c r="Q530" s="1" t="str">
        <f>O530 &amp; " " &amp; P530</f>
        <v>20°58'28.1"N 105°51'48.2"E</v>
      </c>
    </row>
    <row r="531" spans="1:17" ht="15.75" customHeight="1" x14ac:dyDescent="0.2">
      <c r="A531" s="1">
        <v>555</v>
      </c>
      <c r="B531" s="1" t="s">
        <v>2017</v>
      </c>
      <c r="C531" s="1" t="s">
        <v>15</v>
      </c>
      <c r="D531" s="1" t="s">
        <v>16</v>
      </c>
      <c r="E531" s="1" t="s">
        <v>1995</v>
      </c>
      <c r="F531" s="1" t="s">
        <v>1869</v>
      </c>
      <c r="G531" s="1" t="s">
        <v>2018</v>
      </c>
      <c r="H531" s="1" t="s">
        <v>2019</v>
      </c>
      <c r="I531" s="1" t="s">
        <v>27</v>
      </c>
      <c r="J531" s="1" t="s">
        <v>28</v>
      </c>
      <c r="K531" s="2">
        <v>20.977291449999999</v>
      </c>
      <c r="L531" s="2">
        <v>107.04197025000001</v>
      </c>
      <c r="M531" s="1" t="s">
        <v>2020</v>
      </c>
      <c r="N531" s="1" t="s">
        <v>1869</v>
      </c>
      <c r="O531" s="1" t="str">
        <f>INT(K531)&amp;"°"&amp;INT(MOD(K531,1)*60)&amp;"'"&amp;
ROUND(MOD(MOD(K531,1)*60,1)*60,1)&amp;"""N"</f>
        <v>20°58'38.2"N</v>
      </c>
      <c r="P531" s="1" t="str">
        <f>INT(L531)&amp;"°"&amp;INT(MOD(L531,1)*60)&amp;"'"&amp;
ROUND(MOD(MOD(L531,1)*60,1)*60,1)&amp;"""E"</f>
        <v>107°2'31.1"E</v>
      </c>
      <c r="Q531" s="1" t="str">
        <f>O531 &amp; " " &amp; P531</f>
        <v>20°58'38.2"N 107°2'31.1"E</v>
      </c>
    </row>
    <row r="532" spans="1:17" ht="15.75" customHeight="1" x14ac:dyDescent="0.2">
      <c r="A532" s="1">
        <v>351</v>
      </c>
      <c r="B532" s="1" t="s">
        <v>1288</v>
      </c>
      <c r="C532" s="1" t="s">
        <v>15</v>
      </c>
      <c r="D532" s="1" t="s">
        <v>16</v>
      </c>
      <c r="E532" s="1" t="s">
        <v>1260</v>
      </c>
      <c r="F532" s="1" t="s">
        <v>1261</v>
      </c>
      <c r="G532" s="1" t="s">
        <v>1289</v>
      </c>
      <c r="H532" s="1" t="s">
        <v>1290</v>
      </c>
      <c r="I532" s="1" t="s">
        <v>21</v>
      </c>
      <c r="J532" s="1" t="s">
        <v>22</v>
      </c>
      <c r="K532" s="2">
        <v>20.977773689999999</v>
      </c>
      <c r="L532" s="2">
        <v>106.04279978</v>
      </c>
      <c r="M532" s="1" t="s">
        <v>1291</v>
      </c>
      <c r="N532" s="1" t="s">
        <v>1261</v>
      </c>
      <c r="O532" s="1" t="str">
        <f>INT(K532)&amp;"°"&amp;INT(MOD(K532,1)*60)&amp;"'"&amp;
ROUND(MOD(MOD(K532,1)*60,1)*60,1)&amp;"""N"</f>
        <v>20°58'40"N</v>
      </c>
      <c r="P532" s="1" t="str">
        <f>INT(L532)&amp;"°"&amp;INT(MOD(L532,1)*60)&amp;"'"&amp;
ROUND(MOD(MOD(L532,1)*60,1)*60,1)&amp;"""E"</f>
        <v>106°2'34.1"E</v>
      </c>
      <c r="Q532" s="1" t="str">
        <f>O532 &amp; " " &amp; P532</f>
        <v>20°58'40"N 106°2'34.1"E</v>
      </c>
    </row>
    <row r="533" spans="1:17" ht="15.75" customHeight="1" x14ac:dyDescent="0.2">
      <c r="A533" s="1">
        <v>257</v>
      </c>
      <c r="B533" s="1" t="s">
        <v>955</v>
      </c>
      <c r="C533" s="1" t="s">
        <v>15</v>
      </c>
      <c r="D533" s="1" t="s">
        <v>16</v>
      </c>
      <c r="E533" s="1" t="s">
        <v>863</v>
      </c>
      <c r="F533" s="1" t="s">
        <v>864</v>
      </c>
      <c r="G533" s="1" t="s">
        <v>956</v>
      </c>
      <c r="H533" s="1" t="s">
        <v>957</v>
      </c>
      <c r="I533" s="1" t="s">
        <v>434</v>
      </c>
      <c r="J533" s="1" t="s">
        <v>435</v>
      </c>
      <c r="K533" s="2">
        <v>20.99477473</v>
      </c>
      <c r="L533" s="2">
        <v>105.81550439</v>
      </c>
      <c r="M533" s="1" t="s">
        <v>958</v>
      </c>
      <c r="N533" s="1" t="s">
        <v>864</v>
      </c>
      <c r="O533" s="1" t="str">
        <f>INT(K533)&amp;"°"&amp;INT(MOD(K533,1)*60)&amp;"'"&amp;
ROUND(MOD(MOD(K533,1)*60,1)*60,1)&amp;"""N"</f>
        <v>20°59'41.2"N</v>
      </c>
      <c r="P533" s="1" t="str">
        <f>INT(L533)&amp;"°"&amp;INT(MOD(L533,1)*60)&amp;"'"&amp;
ROUND(MOD(MOD(L533,1)*60,1)*60,1)&amp;"""E"</f>
        <v>105°48'55.8"E</v>
      </c>
      <c r="Q533" s="1" t="str">
        <f>O533 &amp; " " &amp; P533</f>
        <v>20°59'41.2"N 105°48'55.8"E</v>
      </c>
    </row>
    <row r="534" spans="1:17" ht="15.75" customHeight="1" x14ac:dyDescent="0.2">
      <c r="A534" s="1">
        <v>595</v>
      </c>
      <c r="B534" s="1" t="s">
        <v>2157</v>
      </c>
      <c r="C534" s="1" t="s">
        <v>15</v>
      </c>
      <c r="D534" s="1" t="s">
        <v>16</v>
      </c>
      <c r="E534" s="1" t="s">
        <v>2120</v>
      </c>
      <c r="F534" s="1" t="s">
        <v>2121</v>
      </c>
      <c r="G534" s="1" t="s">
        <v>2158</v>
      </c>
      <c r="H534" s="1" t="s">
        <v>2159</v>
      </c>
      <c r="I534" s="1" t="s">
        <v>21</v>
      </c>
      <c r="J534" s="1" t="s">
        <v>22</v>
      </c>
      <c r="K534" s="2">
        <v>20.995366130000001</v>
      </c>
      <c r="L534" s="2">
        <v>104.32914460000001</v>
      </c>
      <c r="M534" s="1" t="s">
        <v>2158</v>
      </c>
      <c r="N534" s="1" t="s">
        <v>2121</v>
      </c>
      <c r="O534" s="1" t="str">
        <f>INT(K534)&amp;"°"&amp;INT(MOD(K534,1)*60)&amp;"'"&amp;
ROUND(MOD(MOD(K534,1)*60,1)*60,1)&amp;"""N"</f>
        <v>20°59'43.3"N</v>
      </c>
      <c r="P534" s="1" t="str">
        <f>INT(L534)&amp;"°"&amp;INT(MOD(L534,1)*60)&amp;"'"&amp;
ROUND(MOD(MOD(L534,1)*60,1)*60,1)&amp;"""E"</f>
        <v>104°19'44.9"E</v>
      </c>
      <c r="Q534" s="1" t="str">
        <f>O534 &amp; " " &amp; P534</f>
        <v>20°59'43.3"N 104°19'44.9"E</v>
      </c>
    </row>
    <row r="535" spans="1:17" ht="15.75" customHeight="1" x14ac:dyDescent="0.2">
      <c r="A535" s="1">
        <v>240</v>
      </c>
      <c r="B535" s="1" t="s">
        <v>898</v>
      </c>
      <c r="C535" s="1" t="s">
        <v>15</v>
      </c>
      <c r="D535" s="1" t="s">
        <v>16</v>
      </c>
      <c r="E535" s="1" t="s">
        <v>863</v>
      </c>
      <c r="F535" s="1" t="s">
        <v>864</v>
      </c>
      <c r="G535" s="1" t="s">
        <v>899</v>
      </c>
      <c r="H535" s="1" t="s">
        <v>900</v>
      </c>
      <c r="I535" s="1" t="s">
        <v>434</v>
      </c>
      <c r="J535" s="1" t="s">
        <v>435</v>
      </c>
      <c r="K535" s="2">
        <v>21.005419610000001</v>
      </c>
      <c r="L535" s="2">
        <v>105.85779281000001</v>
      </c>
      <c r="M535" s="1" t="s">
        <v>901</v>
      </c>
      <c r="N535" s="1" t="s">
        <v>864</v>
      </c>
      <c r="O535" s="1" t="str">
        <f>INT(K535)&amp;"°"&amp;INT(MOD(K535,1)*60)&amp;"'"&amp;
ROUND(MOD(MOD(K535,1)*60,1)*60,1)&amp;"""N"</f>
        <v>21°0'19.5"N</v>
      </c>
      <c r="P535" s="1" t="str">
        <f>INT(L535)&amp;"°"&amp;INT(MOD(L535,1)*60)&amp;"'"&amp;
ROUND(MOD(MOD(L535,1)*60,1)*60,1)&amp;"""E"</f>
        <v>105°51'28.1"E</v>
      </c>
      <c r="Q535" s="1" t="str">
        <f>O535 &amp; " " &amp; P535</f>
        <v>21°0'19.5"N 105°51'28.1"E</v>
      </c>
    </row>
    <row r="536" spans="1:17" ht="15.75" customHeight="1" x14ac:dyDescent="0.2">
      <c r="A536" s="1">
        <v>247</v>
      </c>
      <c r="B536" s="1" t="s">
        <v>922</v>
      </c>
      <c r="C536" s="1" t="s">
        <v>15</v>
      </c>
      <c r="D536" s="1" t="s">
        <v>16</v>
      </c>
      <c r="E536" s="1" t="s">
        <v>863</v>
      </c>
      <c r="F536" s="1" t="s">
        <v>864</v>
      </c>
      <c r="G536" s="1" t="s">
        <v>923</v>
      </c>
      <c r="H536" s="1" t="s">
        <v>924</v>
      </c>
      <c r="I536" s="1" t="s">
        <v>434</v>
      </c>
      <c r="J536" s="1" t="s">
        <v>435</v>
      </c>
      <c r="K536" s="2">
        <v>21.012995709999998</v>
      </c>
      <c r="L536" s="2">
        <v>105.76168262</v>
      </c>
      <c r="M536" s="1" t="s">
        <v>925</v>
      </c>
      <c r="N536" s="1" t="s">
        <v>864</v>
      </c>
      <c r="O536" s="1" t="str">
        <f>INT(K536)&amp;"°"&amp;INT(MOD(K536,1)*60)&amp;"'"&amp;
ROUND(MOD(MOD(K536,1)*60,1)*60,1)&amp;"""N"</f>
        <v>21°0'46.8"N</v>
      </c>
      <c r="P536" s="1" t="str">
        <f>INT(L536)&amp;"°"&amp;INT(MOD(L536,1)*60)&amp;"'"&amp;
ROUND(MOD(MOD(L536,1)*60,1)*60,1)&amp;"""E"</f>
        <v>105°45'42.1"E</v>
      </c>
      <c r="Q536" s="1" t="str">
        <f>O536 &amp; " " &amp; P536</f>
        <v>21°0'46.8"N 105°45'42.1"E</v>
      </c>
    </row>
    <row r="537" spans="1:17" ht="15.75" customHeight="1" x14ac:dyDescent="0.2">
      <c r="A537" s="1">
        <v>280</v>
      </c>
      <c r="B537" s="1" t="s">
        <v>1042</v>
      </c>
      <c r="C537" s="1" t="s">
        <v>15</v>
      </c>
      <c r="D537" s="1" t="s">
        <v>16</v>
      </c>
      <c r="E537" s="1" t="s">
        <v>1014</v>
      </c>
      <c r="F537" s="1" t="s">
        <v>1015</v>
      </c>
      <c r="G537" s="1" t="s">
        <v>1043</v>
      </c>
      <c r="H537" s="1" t="s">
        <v>1044</v>
      </c>
      <c r="I537" s="1" t="s">
        <v>21</v>
      </c>
      <c r="J537" s="1" t="s">
        <v>22</v>
      </c>
      <c r="K537" s="2">
        <v>21.014687779999999</v>
      </c>
      <c r="L537" s="2">
        <v>106.33678012</v>
      </c>
      <c r="M537" s="1" t="s">
        <v>152</v>
      </c>
      <c r="N537" s="1" t="s">
        <v>1019</v>
      </c>
      <c r="O537" s="1" t="str">
        <f>INT(K537)&amp;"°"&amp;INT(MOD(K537,1)*60)&amp;"'"&amp;
ROUND(MOD(MOD(K537,1)*60,1)*60,1)&amp;"""N"</f>
        <v>21°0'52.9"N</v>
      </c>
      <c r="P537" s="1" t="str">
        <f>INT(L537)&amp;"°"&amp;INT(MOD(L537,1)*60)&amp;"'"&amp;
ROUND(MOD(MOD(L537,1)*60,1)*60,1)&amp;"""E"</f>
        <v>106°20'12.4"E</v>
      </c>
      <c r="Q537" s="1" t="str">
        <f>O537 &amp; " " &amp; P537</f>
        <v>21°0'52.9"N 106°20'12.4"E</v>
      </c>
    </row>
    <row r="538" spans="1:17" ht="15.75" customHeight="1" x14ac:dyDescent="0.2">
      <c r="A538" s="1">
        <v>279</v>
      </c>
      <c r="B538" s="1" t="s">
        <v>1038</v>
      </c>
      <c r="C538" s="1" t="s">
        <v>15</v>
      </c>
      <c r="D538" s="1" t="s">
        <v>16</v>
      </c>
      <c r="E538" s="1" t="s">
        <v>1014</v>
      </c>
      <c r="F538" s="1" t="s">
        <v>1015</v>
      </c>
      <c r="G538" s="1" t="s">
        <v>1039</v>
      </c>
      <c r="H538" s="1" t="s">
        <v>1040</v>
      </c>
      <c r="I538" s="1" t="s">
        <v>21</v>
      </c>
      <c r="J538" s="1" t="s">
        <v>22</v>
      </c>
      <c r="K538" s="2">
        <v>21.01491141</v>
      </c>
      <c r="L538" s="2">
        <v>106.50837976</v>
      </c>
      <c r="M538" s="1" t="s">
        <v>1041</v>
      </c>
      <c r="N538" s="1" t="s">
        <v>1019</v>
      </c>
      <c r="O538" s="1" t="str">
        <f>INT(K538)&amp;"°"&amp;INT(MOD(K538,1)*60)&amp;"'"&amp;
ROUND(MOD(MOD(K538,1)*60,1)*60,1)&amp;"""N"</f>
        <v>21°0'53.7"N</v>
      </c>
      <c r="P538" s="1" t="str">
        <f>INT(L538)&amp;"°"&amp;INT(MOD(L538,1)*60)&amp;"'"&amp;
ROUND(MOD(MOD(L538,1)*60,1)*60,1)&amp;"""E"</f>
        <v>106°30'30.2"E</v>
      </c>
      <c r="Q538" s="1" t="str">
        <f>O538 &amp; " " &amp; P538</f>
        <v>21°0'53.7"N 106°30'30.2"E</v>
      </c>
    </row>
    <row r="539" spans="1:17" ht="15.75" customHeight="1" x14ac:dyDescent="0.2">
      <c r="A539" s="1">
        <v>237</v>
      </c>
      <c r="B539" s="1" t="s">
        <v>888</v>
      </c>
      <c r="C539" s="1" t="s">
        <v>15</v>
      </c>
      <c r="D539" s="1" t="s">
        <v>16</v>
      </c>
      <c r="E539" s="1" t="s">
        <v>863</v>
      </c>
      <c r="F539" s="1" t="s">
        <v>864</v>
      </c>
      <c r="G539" s="1" t="s">
        <v>889</v>
      </c>
      <c r="H539" s="1" t="s">
        <v>890</v>
      </c>
      <c r="I539" s="1" t="s">
        <v>434</v>
      </c>
      <c r="J539" s="1" t="s">
        <v>435</v>
      </c>
      <c r="K539" s="2">
        <v>21.015414109999998</v>
      </c>
      <c r="L539" s="2">
        <v>105.82514815</v>
      </c>
      <c r="M539" s="1" t="s">
        <v>889</v>
      </c>
      <c r="N539" s="1" t="s">
        <v>864</v>
      </c>
      <c r="O539" s="1" t="str">
        <f>INT(K539)&amp;"°"&amp;INT(MOD(K539,1)*60)&amp;"'"&amp;
ROUND(MOD(MOD(K539,1)*60,1)*60,1)&amp;"""N"</f>
        <v>21°0'55.5"N</v>
      </c>
      <c r="P539" s="1" t="str">
        <f>INT(L539)&amp;"°"&amp;INT(MOD(L539,1)*60)&amp;"'"&amp;
ROUND(MOD(MOD(L539,1)*60,1)*60,1)&amp;"""E"</f>
        <v>105°49'30.5"E</v>
      </c>
      <c r="Q539" s="1" t="str">
        <f>O539 &amp; " " &amp; P539</f>
        <v>21°0'55.5"N 105°49'30.5"E</v>
      </c>
    </row>
    <row r="540" spans="1:17" ht="15.75" customHeight="1" x14ac:dyDescent="0.2">
      <c r="A540" s="1">
        <v>254</v>
      </c>
      <c r="B540" s="1" t="s">
        <v>946</v>
      </c>
      <c r="C540" s="1" t="s">
        <v>15</v>
      </c>
      <c r="D540" s="1" t="s">
        <v>16</v>
      </c>
      <c r="E540" s="1" t="s">
        <v>863</v>
      </c>
      <c r="F540" s="1" t="s">
        <v>864</v>
      </c>
      <c r="G540" s="1" t="s">
        <v>947</v>
      </c>
      <c r="H540" s="1" t="s">
        <v>948</v>
      </c>
      <c r="I540" s="1" t="s">
        <v>21</v>
      </c>
      <c r="J540" s="1" t="s">
        <v>22</v>
      </c>
      <c r="K540" s="2">
        <v>21.018884100000001</v>
      </c>
      <c r="L540" s="2">
        <v>105.53079585</v>
      </c>
      <c r="M540" s="1" t="s">
        <v>949</v>
      </c>
      <c r="N540" s="1" t="s">
        <v>864</v>
      </c>
      <c r="O540" s="1" t="str">
        <f>INT(K540)&amp;"°"&amp;INT(MOD(K540,1)*60)&amp;"'"&amp;
ROUND(MOD(MOD(K540,1)*60,1)*60,1)&amp;"""N"</f>
        <v>21°1'8"N</v>
      </c>
      <c r="P540" s="1" t="str">
        <f>INT(L540)&amp;"°"&amp;INT(MOD(L540,1)*60)&amp;"'"&amp;
ROUND(MOD(MOD(L540,1)*60,1)*60,1)&amp;"""E"</f>
        <v>105°31'50.9"E</v>
      </c>
      <c r="Q540" s="1" t="str">
        <f>O540 &amp; " " &amp; P540</f>
        <v>21°1'8"N 105°31'50.9"E</v>
      </c>
    </row>
    <row r="541" spans="1:17" ht="15.75" customHeight="1" x14ac:dyDescent="0.2">
      <c r="A541" s="1">
        <v>46</v>
      </c>
      <c r="B541" s="1" t="s">
        <v>196</v>
      </c>
      <c r="C541" s="1" t="s">
        <v>15</v>
      </c>
      <c r="D541" s="1" t="s">
        <v>16</v>
      </c>
      <c r="E541" s="1" t="s">
        <v>190</v>
      </c>
      <c r="F541" s="1" t="s">
        <v>100</v>
      </c>
      <c r="G541" s="1" t="s">
        <v>197</v>
      </c>
      <c r="H541" s="1" t="s">
        <v>198</v>
      </c>
      <c r="I541" s="1" t="s">
        <v>21</v>
      </c>
      <c r="J541" s="1" t="s">
        <v>22</v>
      </c>
      <c r="K541" s="2">
        <v>21.022647840000001</v>
      </c>
      <c r="L541" s="2">
        <v>106.22603368999999</v>
      </c>
      <c r="M541" s="1" t="s">
        <v>199</v>
      </c>
      <c r="N541" s="1" t="s">
        <v>100</v>
      </c>
      <c r="O541" s="1" t="str">
        <f>INT(K541)&amp;"°"&amp;INT(MOD(K541,1)*60)&amp;"'"&amp;
ROUND(MOD(MOD(K541,1)*60,1)*60,1)&amp;"""N"</f>
        <v>21°1'21.5"N</v>
      </c>
      <c r="P541" s="1" t="str">
        <f>INT(L541)&amp;"°"&amp;INT(MOD(L541,1)*60)&amp;"'"&amp;
ROUND(MOD(MOD(L541,1)*60,1)*60,1)&amp;"""E"</f>
        <v>106°13'33.7"E</v>
      </c>
      <c r="Q541" s="1" t="str">
        <f>O541 &amp; " " &amp; P541</f>
        <v>21°1'21.5"N 106°13'33.7"E</v>
      </c>
    </row>
    <row r="542" spans="1:17" ht="15.75" customHeight="1" x14ac:dyDescent="0.2">
      <c r="A542" s="1">
        <v>241</v>
      </c>
      <c r="B542" s="1" t="s">
        <v>902</v>
      </c>
      <c r="C542" s="1" t="s">
        <v>15</v>
      </c>
      <c r="D542" s="1" t="s">
        <v>16</v>
      </c>
      <c r="E542" s="1" t="s">
        <v>863</v>
      </c>
      <c r="F542" s="1" t="s">
        <v>864</v>
      </c>
      <c r="G542" s="1" t="s">
        <v>903</v>
      </c>
      <c r="H542" s="1" t="s">
        <v>904</v>
      </c>
      <c r="I542" s="1" t="s">
        <v>21</v>
      </c>
      <c r="J542" s="1" t="s">
        <v>22</v>
      </c>
      <c r="K542" s="2">
        <v>21.024087569999999</v>
      </c>
      <c r="L542" s="2">
        <v>105.6993519</v>
      </c>
      <c r="M542" s="1" t="s">
        <v>905</v>
      </c>
      <c r="N542" s="1" t="s">
        <v>864</v>
      </c>
      <c r="O542" s="1" t="str">
        <f>INT(K542)&amp;"°"&amp;INT(MOD(K542,1)*60)&amp;"'"&amp;
ROUND(MOD(MOD(K542,1)*60,1)*60,1)&amp;"""N"</f>
        <v>21°1'26.7"N</v>
      </c>
      <c r="P542" s="1" t="str">
        <f>INT(L542)&amp;"°"&amp;INT(MOD(L542,1)*60)&amp;"'"&amp;
ROUND(MOD(MOD(L542,1)*60,1)*60,1)&amp;"""E"</f>
        <v>105°41'57.7"E</v>
      </c>
      <c r="Q542" s="1" t="str">
        <f>O542 &amp; " " &amp; P542</f>
        <v>21°1'26.7"N 105°41'57.7"E</v>
      </c>
    </row>
    <row r="543" spans="1:17" ht="15.75" customHeight="1" x14ac:dyDescent="0.2">
      <c r="A543" s="1">
        <v>242</v>
      </c>
      <c r="B543" s="1" t="s">
        <v>906</v>
      </c>
      <c r="C543" s="1" t="s">
        <v>15</v>
      </c>
      <c r="D543" s="1" t="s">
        <v>16</v>
      </c>
      <c r="E543" s="1" t="s">
        <v>863</v>
      </c>
      <c r="F543" s="1" t="s">
        <v>864</v>
      </c>
      <c r="G543" s="1" t="s">
        <v>907</v>
      </c>
      <c r="H543" s="1" t="s">
        <v>908</v>
      </c>
      <c r="I543" s="1" t="s">
        <v>434</v>
      </c>
      <c r="J543" s="1" t="s">
        <v>435</v>
      </c>
      <c r="K543" s="2">
        <v>21.02868286</v>
      </c>
      <c r="L543" s="2">
        <v>105.85368162</v>
      </c>
      <c r="M543" s="1" t="s">
        <v>907</v>
      </c>
      <c r="N543" s="1" t="s">
        <v>864</v>
      </c>
      <c r="O543" s="1" t="str">
        <f>INT(K543)&amp;"°"&amp;INT(MOD(K543,1)*60)&amp;"'"&amp;
ROUND(MOD(MOD(K543,1)*60,1)*60,1)&amp;"""N"</f>
        <v>21°1'43.3"N</v>
      </c>
      <c r="P543" s="1" t="str">
        <f>INT(L543)&amp;"°"&amp;INT(MOD(L543,1)*60)&amp;"'"&amp;
ROUND(MOD(MOD(L543,1)*60,1)*60,1)&amp;"""E"</f>
        <v>105°51'13.3"E</v>
      </c>
      <c r="Q543" s="1" t="str">
        <f>O543 &amp; " " &amp; P543</f>
        <v>21°1'43.3"N 105°51'13.3"E</v>
      </c>
    </row>
    <row r="544" spans="1:17" ht="15.75" customHeight="1" x14ac:dyDescent="0.2">
      <c r="A544" s="1">
        <v>238</v>
      </c>
      <c r="B544" s="1" t="s">
        <v>891</v>
      </c>
      <c r="C544" s="1" t="s">
        <v>15</v>
      </c>
      <c r="D544" s="1" t="s">
        <v>16</v>
      </c>
      <c r="E544" s="1" t="s">
        <v>863</v>
      </c>
      <c r="F544" s="1" t="s">
        <v>864</v>
      </c>
      <c r="G544" s="1" t="s">
        <v>892</v>
      </c>
      <c r="H544" s="1" t="s">
        <v>893</v>
      </c>
      <c r="I544" s="1" t="s">
        <v>21</v>
      </c>
      <c r="J544" s="1" t="s">
        <v>22</v>
      </c>
      <c r="K544" s="2">
        <v>21.028820840000002</v>
      </c>
      <c r="L544" s="2">
        <v>105.95054053</v>
      </c>
      <c r="M544" s="1" t="s">
        <v>892</v>
      </c>
      <c r="N544" s="1" t="s">
        <v>864</v>
      </c>
      <c r="O544" s="1" t="str">
        <f>INT(K544)&amp;"°"&amp;INT(MOD(K544,1)*60)&amp;"'"&amp;
ROUND(MOD(MOD(K544,1)*60,1)*60,1)&amp;"""N"</f>
        <v>21°1'43.8"N</v>
      </c>
      <c r="P544" s="1" t="str">
        <f>INT(L544)&amp;"°"&amp;INT(MOD(L544,1)*60)&amp;"'"&amp;
ROUND(MOD(MOD(L544,1)*60,1)*60,1)&amp;"""E"</f>
        <v>105°57'1.9"E</v>
      </c>
      <c r="Q544" s="1" t="str">
        <f>O544 &amp; " " &amp; P544</f>
        <v>21°1'43.8"N 105°57'1.9"E</v>
      </c>
    </row>
    <row r="545" spans="1:17" ht="15.75" customHeight="1" x14ac:dyDescent="0.2">
      <c r="A545" s="1">
        <v>233</v>
      </c>
      <c r="B545" s="1" t="s">
        <v>875</v>
      </c>
      <c r="C545" s="1" t="s">
        <v>15</v>
      </c>
      <c r="D545" s="1" t="s">
        <v>16</v>
      </c>
      <c r="E545" s="1" t="s">
        <v>863</v>
      </c>
      <c r="F545" s="1" t="s">
        <v>864</v>
      </c>
      <c r="G545" s="1" t="s">
        <v>876</v>
      </c>
      <c r="H545" s="1" t="s">
        <v>877</v>
      </c>
      <c r="I545" s="1" t="s">
        <v>434</v>
      </c>
      <c r="J545" s="1" t="s">
        <v>435</v>
      </c>
      <c r="K545" s="2">
        <v>21.030642220000001</v>
      </c>
      <c r="L545" s="2">
        <v>105.791859</v>
      </c>
      <c r="M545" s="1" t="s">
        <v>876</v>
      </c>
      <c r="N545" s="1" t="s">
        <v>864</v>
      </c>
      <c r="O545" s="1" t="str">
        <f>INT(K545)&amp;"°"&amp;INT(MOD(K545,1)*60)&amp;"'"&amp;
ROUND(MOD(MOD(K545,1)*60,1)*60,1)&amp;"""N"</f>
        <v>21°1'50.3"N</v>
      </c>
      <c r="P545" s="1" t="str">
        <f>INT(L545)&amp;"°"&amp;INT(MOD(L545,1)*60)&amp;"'"&amp;
ROUND(MOD(MOD(L545,1)*60,1)*60,1)&amp;"""E"</f>
        <v>105°47'30.7"E</v>
      </c>
      <c r="Q545" s="1" t="str">
        <f>O545 &amp; " " &amp; P545</f>
        <v>21°1'50.3"N 105°47'30.7"E</v>
      </c>
    </row>
    <row r="546" spans="1:17" ht="15.75" customHeight="1" x14ac:dyDescent="0.2">
      <c r="A546" s="1">
        <v>230</v>
      </c>
      <c r="B546" s="1" t="s">
        <v>862</v>
      </c>
      <c r="C546" s="1" t="s">
        <v>15</v>
      </c>
      <c r="D546" s="1" t="s">
        <v>16</v>
      </c>
      <c r="E546" s="1" t="s">
        <v>863</v>
      </c>
      <c r="F546" s="1" t="s">
        <v>864</v>
      </c>
      <c r="G546" s="1" t="s">
        <v>865</v>
      </c>
      <c r="H546" s="1" t="s">
        <v>866</v>
      </c>
      <c r="I546" s="1" t="s">
        <v>434</v>
      </c>
      <c r="J546" s="1" t="s">
        <v>435</v>
      </c>
      <c r="K546" s="2">
        <v>21.03600346</v>
      </c>
      <c r="L546" s="2">
        <v>105.82653495</v>
      </c>
      <c r="M546" s="1" t="s">
        <v>865</v>
      </c>
      <c r="N546" s="1" t="s">
        <v>864</v>
      </c>
      <c r="O546" s="1" t="str">
        <f>INT(K546)&amp;"°"&amp;INT(MOD(K546,1)*60)&amp;"'"&amp;
ROUND(MOD(MOD(K546,1)*60,1)*60,1)&amp;"""N"</f>
        <v>21°2'9.6"N</v>
      </c>
      <c r="P546" s="1" t="str">
        <f>INT(L546)&amp;"°"&amp;INT(MOD(L546,1)*60)&amp;"'"&amp;
ROUND(MOD(MOD(L546,1)*60,1)*60,1)&amp;"""E"</f>
        <v>105°49'35.5"E</v>
      </c>
      <c r="Q546" s="1" t="str">
        <f>O546 &amp; " " &amp; P546</f>
        <v>21°2'9.6"N 105°49'35.5"E</v>
      </c>
    </row>
    <row r="547" spans="1:17" ht="15.75" customHeight="1" x14ac:dyDescent="0.2">
      <c r="A547" s="1">
        <v>552</v>
      </c>
      <c r="B547" s="1" t="s">
        <v>2006</v>
      </c>
      <c r="C547" s="1" t="s">
        <v>15</v>
      </c>
      <c r="D547" s="1" t="s">
        <v>16</v>
      </c>
      <c r="E547" s="1" t="s">
        <v>1995</v>
      </c>
      <c r="F547" s="1" t="s">
        <v>1869</v>
      </c>
      <c r="G547" s="1" t="s">
        <v>2007</v>
      </c>
      <c r="H547" s="1" t="s">
        <v>2008</v>
      </c>
      <c r="I547" s="1" t="s">
        <v>21</v>
      </c>
      <c r="J547" s="1" t="s">
        <v>22</v>
      </c>
      <c r="K547" s="2">
        <v>21.036034900000001</v>
      </c>
      <c r="L547" s="2">
        <v>107.81305064999999</v>
      </c>
      <c r="M547" s="1" t="s">
        <v>2007</v>
      </c>
      <c r="N547" s="1" t="s">
        <v>1869</v>
      </c>
      <c r="O547" s="1" t="str">
        <f>INT(K547)&amp;"°"&amp;INT(MOD(K547,1)*60)&amp;"'"&amp;
ROUND(MOD(MOD(K547,1)*60,1)*60,1)&amp;"""N"</f>
        <v>21°2'9.7"N</v>
      </c>
      <c r="P547" s="1" t="str">
        <f>INT(L547)&amp;"°"&amp;INT(MOD(L547,1)*60)&amp;"'"&amp;
ROUND(MOD(MOD(L547,1)*60,1)*60,1)&amp;"""E"</f>
        <v>107°48'47"E</v>
      </c>
      <c r="Q547" s="1" t="str">
        <f>O547 &amp; " " &amp; P547</f>
        <v>21°2'9.7"N 107°48'47"E</v>
      </c>
    </row>
    <row r="548" spans="1:17" ht="15.75" customHeight="1" x14ac:dyDescent="0.2">
      <c r="A548" s="1">
        <v>48</v>
      </c>
      <c r="B548" s="1" t="s">
        <v>203</v>
      </c>
      <c r="C548" s="1" t="s">
        <v>15</v>
      </c>
      <c r="D548" s="1" t="s">
        <v>16</v>
      </c>
      <c r="E548" s="1" t="s">
        <v>190</v>
      </c>
      <c r="F548" s="1" t="s">
        <v>100</v>
      </c>
      <c r="G548" s="1" t="s">
        <v>204</v>
      </c>
      <c r="H548" s="1" t="s">
        <v>205</v>
      </c>
      <c r="I548" s="1" t="s">
        <v>21</v>
      </c>
      <c r="J548" s="1" t="s">
        <v>22</v>
      </c>
      <c r="K548" s="2">
        <v>21.037254900000001</v>
      </c>
      <c r="L548" s="2">
        <v>106.07639777999999</v>
      </c>
      <c r="M548" s="1" t="s">
        <v>204</v>
      </c>
      <c r="N548" s="1" t="s">
        <v>100</v>
      </c>
      <c r="O548" s="1" t="str">
        <f>INT(K548)&amp;"°"&amp;INT(MOD(K548,1)*60)&amp;"'"&amp;
ROUND(MOD(MOD(K548,1)*60,1)*60,1)&amp;"""N"</f>
        <v>21°2'14.1"N</v>
      </c>
      <c r="P548" s="1" t="str">
        <f>INT(L548)&amp;"°"&amp;INT(MOD(L548,1)*60)&amp;"'"&amp;
ROUND(MOD(MOD(L548,1)*60,1)*60,1)&amp;"""E"</f>
        <v>106°4'35"E</v>
      </c>
      <c r="Q548" s="1" t="str">
        <f>O548 &amp; " " &amp; P548</f>
        <v>21°2'14.1"N 106°4'35"E</v>
      </c>
    </row>
    <row r="549" spans="1:17" ht="15.75" customHeight="1" x14ac:dyDescent="0.2">
      <c r="A549" s="1">
        <v>244</v>
      </c>
      <c r="B549" s="1" t="s">
        <v>912</v>
      </c>
      <c r="C549" s="1" t="s">
        <v>15</v>
      </c>
      <c r="D549" s="1" t="s">
        <v>16</v>
      </c>
      <c r="E549" s="1" t="s">
        <v>863</v>
      </c>
      <c r="F549" s="1" t="s">
        <v>864</v>
      </c>
      <c r="G549" s="1" t="s">
        <v>913</v>
      </c>
      <c r="H549" s="1" t="s">
        <v>914</v>
      </c>
      <c r="I549" s="1" t="s">
        <v>434</v>
      </c>
      <c r="J549" s="1" t="s">
        <v>435</v>
      </c>
      <c r="K549" s="2">
        <v>21.04189349</v>
      </c>
      <c r="L549" s="2">
        <v>105.89419103</v>
      </c>
      <c r="M549" s="1" t="s">
        <v>913</v>
      </c>
      <c r="N549" s="1" t="s">
        <v>864</v>
      </c>
      <c r="O549" s="1" t="str">
        <f>INT(K549)&amp;"°"&amp;INT(MOD(K549,1)*60)&amp;"'"&amp;
ROUND(MOD(MOD(K549,1)*60,1)*60,1)&amp;"""N"</f>
        <v>21°2'30.8"N</v>
      </c>
      <c r="P549" s="1" t="str">
        <f>INT(L549)&amp;"°"&amp;INT(MOD(L549,1)*60)&amp;"'"&amp;
ROUND(MOD(MOD(L549,1)*60,1)*60,1)&amp;"""E"</f>
        <v>105°53'39.1"E</v>
      </c>
      <c r="Q549" s="1" t="str">
        <f>O549 &amp; " " &amp; P549</f>
        <v>21°2'30.8"N 105°53'39.1"E</v>
      </c>
    </row>
    <row r="550" spans="1:17" ht="15.75" customHeight="1" x14ac:dyDescent="0.2">
      <c r="A550" s="1">
        <v>562</v>
      </c>
      <c r="B550" s="1" t="s">
        <v>2042</v>
      </c>
      <c r="C550" s="1" t="s">
        <v>15</v>
      </c>
      <c r="D550" s="1" t="s">
        <v>16</v>
      </c>
      <c r="E550" s="1" t="s">
        <v>1995</v>
      </c>
      <c r="F550" s="1" t="s">
        <v>1869</v>
      </c>
      <c r="G550" s="1" t="s">
        <v>2043</v>
      </c>
      <c r="H550" s="1" t="s">
        <v>2044</v>
      </c>
      <c r="I550" s="1" t="s">
        <v>21</v>
      </c>
      <c r="J550" s="1" t="s">
        <v>22</v>
      </c>
      <c r="K550" s="2">
        <v>21.06009495</v>
      </c>
      <c r="L550" s="2">
        <v>107.47528402</v>
      </c>
      <c r="M550" s="1" t="s">
        <v>2043</v>
      </c>
      <c r="N550" s="1" t="s">
        <v>1869</v>
      </c>
      <c r="O550" s="1" t="str">
        <f>INT(K550)&amp;"°"&amp;INT(MOD(K550,1)*60)&amp;"'"&amp;
ROUND(MOD(MOD(K550,1)*60,1)*60,1)&amp;"""N"</f>
        <v>21°3'36.3"N</v>
      </c>
      <c r="P550" s="1" t="str">
        <f>INT(L550)&amp;"°"&amp;INT(MOD(L550,1)*60)&amp;"'"&amp;
ROUND(MOD(MOD(L550,1)*60,1)*60,1)&amp;"""E"</f>
        <v>107°28'31"E</v>
      </c>
      <c r="Q550" s="1" t="str">
        <f>O550 &amp; " " &amp; P550</f>
        <v>21°3'36.3"N 107°28'31"E</v>
      </c>
    </row>
    <row r="551" spans="1:17" ht="15.75" customHeight="1" x14ac:dyDescent="0.2">
      <c r="A551" s="1">
        <v>496</v>
      </c>
      <c r="B551" s="1" t="s">
        <v>1798</v>
      </c>
      <c r="C551" s="1" t="s">
        <v>15</v>
      </c>
      <c r="D551" s="1" t="s">
        <v>16</v>
      </c>
      <c r="E551" s="1" t="s">
        <v>1770</v>
      </c>
      <c r="F551" s="1" t="s">
        <v>1225</v>
      </c>
      <c r="G551" s="1" t="s">
        <v>1799</v>
      </c>
      <c r="H551" s="1" t="s">
        <v>1800</v>
      </c>
      <c r="I551" s="1" t="s">
        <v>21</v>
      </c>
      <c r="J551" s="1" t="s">
        <v>22</v>
      </c>
      <c r="K551" s="2">
        <v>21.06512657</v>
      </c>
      <c r="L551" s="2">
        <v>105.18956403</v>
      </c>
      <c r="M551" s="1" t="s">
        <v>1801</v>
      </c>
      <c r="N551" s="1" t="s">
        <v>1225</v>
      </c>
      <c r="O551" s="1" t="str">
        <f>INT(K551)&amp;"°"&amp;INT(MOD(K551,1)*60)&amp;"'"&amp;
ROUND(MOD(MOD(K551,1)*60,1)*60,1)&amp;"""N"</f>
        <v>21°3'54.5"N</v>
      </c>
      <c r="P551" s="1" t="str">
        <f>INT(L551)&amp;"°"&amp;INT(MOD(L551,1)*60)&amp;"'"&amp;
ROUND(MOD(MOD(L551,1)*60,1)*60,1)&amp;"""E"</f>
        <v>105°11'22.4"E</v>
      </c>
      <c r="Q551" s="1" t="str">
        <f>O551 &amp; " " &amp; P551</f>
        <v>21°3'54.5"N 105°11'22.4"E</v>
      </c>
    </row>
    <row r="552" spans="1:17" ht="15.75" customHeight="1" x14ac:dyDescent="0.2">
      <c r="A552" s="1">
        <v>253</v>
      </c>
      <c r="B552" s="1" t="s">
        <v>943</v>
      </c>
      <c r="C552" s="1" t="s">
        <v>15</v>
      </c>
      <c r="D552" s="1" t="s">
        <v>16</v>
      </c>
      <c r="E552" s="1" t="s">
        <v>863</v>
      </c>
      <c r="F552" s="1" t="s">
        <v>864</v>
      </c>
      <c r="G552" s="1" t="s">
        <v>944</v>
      </c>
      <c r="H552" s="1" t="s">
        <v>945</v>
      </c>
      <c r="I552" s="1" t="s">
        <v>434</v>
      </c>
      <c r="J552" s="1" t="s">
        <v>435</v>
      </c>
      <c r="K552" s="2">
        <v>21.070923690000001</v>
      </c>
      <c r="L552" s="2">
        <v>105.81981270999999</v>
      </c>
      <c r="M552" s="1" t="s">
        <v>944</v>
      </c>
      <c r="N552" s="1" t="s">
        <v>864</v>
      </c>
      <c r="O552" s="1" t="str">
        <f>INT(K552)&amp;"°"&amp;INT(MOD(K552,1)*60)&amp;"'"&amp;
ROUND(MOD(MOD(K552,1)*60,1)*60,1)&amp;"""N"</f>
        <v>21°4'15.3"N</v>
      </c>
      <c r="P552" s="1" t="str">
        <f>INT(L552)&amp;"°"&amp;INT(MOD(L552,1)*60)&amp;"'"&amp;
ROUND(MOD(MOD(L552,1)*60,1)*60,1)&amp;"""E"</f>
        <v>105°49'11.3"E</v>
      </c>
      <c r="Q552" s="1" t="str">
        <f>O552 &amp; " " &amp; P552</f>
        <v>21°4'15.3"N 105°49'11.3"E</v>
      </c>
    </row>
    <row r="553" spans="1:17" ht="15.75" customHeight="1" x14ac:dyDescent="0.2">
      <c r="A553" s="1">
        <v>232</v>
      </c>
      <c r="B553" s="1" t="s">
        <v>871</v>
      </c>
      <c r="C553" s="1" t="s">
        <v>15</v>
      </c>
      <c r="D553" s="1" t="s">
        <v>16</v>
      </c>
      <c r="E553" s="1" t="s">
        <v>863</v>
      </c>
      <c r="F553" s="1" t="s">
        <v>864</v>
      </c>
      <c r="G553" s="1" t="s">
        <v>872</v>
      </c>
      <c r="H553" s="1" t="s">
        <v>873</v>
      </c>
      <c r="I553" s="1" t="s">
        <v>434</v>
      </c>
      <c r="J553" s="1" t="s">
        <v>435</v>
      </c>
      <c r="K553" s="2">
        <v>21.070964839999998</v>
      </c>
      <c r="L553" s="2">
        <v>105.76135481999999</v>
      </c>
      <c r="M553" s="1" t="s">
        <v>874</v>
      </c>
      <c r="N553" s="1" t="s">
        <v>864</v>
      </c>
      <c r="O553" s="1" t="str">
        <f>INT(K553)&amp;"°"&amp;INT(MOD(K553,1)*60)&amp;"'"&amp;
ROUND(MOD(MOD(K553,1)*60,1)*60,1)&amp;"""N"</f>
        <v>21°4'15.5"N</v>
      </c>
      <c r="P553" s="1" t="str">
        <f>INT(L553)&amp;"°"&amp;INT(MOD(L553,1)*60)&amp;"'"&amp;
ROUND(MOD(MOD(L553,1)*60,1)*60,1)&amp;"""E"</f>
        <v>105°45'40.9"E</v>
      </c>
      <c r="Q553" s="1" t="str">
        <f>O553 &amp; " " &amp; P553</f>
        <v>21°4'15.5"N 105°45'40.9"E</v>
      </c>
    </row>
    <row r="554" spans="1:17" ht="15.75" customHeight="1" x14ac:dyDescent="0.2">
      <c r="A554" s="1">
        <v>591</v>
      </c>
      <c r="B554" s="1" t="s">
        <v>2144</v>
      </c>
      <c r="C554" s="1" t="s">
        <v>15</v>
      </c>
      <c r="D554" s="1" t="s">
        <v>16</v>
      </c>
      <c r="E554" s="1" t="s">
        <v>2120</v>
      </c>
      <c r="F554" s="1" t="s">
        <v>2121</v>
      </c>
      <c r="G554" s="1" t="s">
        <v>2145</v>
      </c>
      <c r="H554" s="1" t="s">
        <v>2146</v>
      </c>
      <c r="I554" s="1" t="s">
        <v>21</v>
      </c>
      <c r="J554" s="1" t="s">
        <v>22</v>
      </c>
      <c r="K554" s="2">
        <v>21.072390240000001</v>
      </c>
      <c r="L554" s="2">
        <v>103.69339386999999</v>
      </c>
      <c r="M554" s="1" t="s">
        <v>2145</v>
      </c>
      <c r="N554" s="1" t="s">
        <v>2121</v>
      </c>
      <c r="O554" s="1" t="str">
        <f>INT(K554)&amp;"°"&amp;INT(MOD(K554,1)*60)&amp;"'"&amp;
ROUND(MOD(MOD(K554,1)*60,1)*60,1)&amp;"""N"</f>
        <v>21°4'20.6"N</v>
      </c>
      <c r="P554" s="1" t="str">
        <f>INT(L554)&amp;"°"&amp;INT(MOD(L554,1)*60)&amp;"'"&amp;
ROUND(MOD(MOD(L554,1)*60,1)*60,1)&amp;"""E"</f>
        <v>103°41'36.2"E</v>
      </c>
      <c r="Q554" s="1" t="str">
        <f>O554 &amp; " " &amp; P554</f>
        <v>21°4'20.6"N 103°41'36.2"E</v>
      </c>
    </row>
    <row r="555" spans="1:17" ht="15.75" customHeight="1" x14ac:dyDescent="0.2">
      <c r="A555" s="1">
        <v>561</v>
      </c>
      <c r="B555" s="1" t="s">
        <v>2039</v>
      </c>
      <c r="C555" s="1" t="s">
        <v>15</v>
      </c>
      <c r="D555" s="1" t="s">
        <v>16</v>
      </c>
      <c r="E555" s="1" t="s">
        <v>1995</v>
      </c>
      <c r="F555" s="1" t="s">
        <v>1869</v>
      </c>
      <c r="G555" s="1" t="s">
        <v>2040</v>
      </c>
      <c r="H555" s="1" t="s">
        <v>2041</v>
      </c>
      <c r="I555" s="1" t="s">
        <v>27</v>
      </c>
      <c r="J555" s="1" t="s">
        <v>28</v>
      </c>
      <c r="K555" s="2">
        <v>21.074596700000001</v>
      </c>
      <c r="L555" s="2">
        <v>106.76553358</v>
      </c>
      <c r="M555" s="1" t="s">
        <v>2040</v>
      </c>
      <c r="N555" s="1" t="s">
        <v>1869</v>
      </c>
      <c r="O555" s="1" t="str">
        <f>INT(K555)&amp;"°"&amp;INT(MOD(K555,1)*60)&amp;"'"&amp;
ROUND(MOD(MOD(K555,1)*60,1)*60,1)&amp;"""N"</f>
        <v>21°4'28.5"N</v>
      </c>
      <c r="P555" s="1" t="str">
        <f>INT(L555)&amp;"°"&amp;INT(MOD(L555,1)*60)&amp;"'"&amp;
ROUND(MOD(MOD(L555,1)*60,1)*60,1)&amp;"""E"</f>
        <v>106°45'55.9"E</v>
      </c>
      <c r="Q555" s="1" t="str">
        <f>O555 &amp; " " &amp; P555</f>
        <v>21°4'28.5"N 106°45'55.9"E</v>
      </c>
    </row>
    <row r="556" spans="1:17" ht="15.75" customHeight="1" x14ac:dyDescent="0.2">
      <c r="A556" s="1">
        <v>45</v>
      </c>
      <c r="B556" s="1" t="s">
        <v>193</v>
      </c>
      <c r="C556" s="1" t="s">
        <v>15</v>
      </c>
      <c r="D556" s="1" t="s">
        <v>16</v>
      </c>
      <c r="E556" s="1" t="s">
        <v>190</v>
      </c>
      <c r="F556" s="1" t="s">
        <v>100</v>
      </c>
      <c r="G556" s="1" t="s">
        <v>194</v>
      </c>
      <c r="H556" s="1" t="s">
        <v>195</v>
      </c>
      <c r="I556" s="1" t="s">
        <v>21</v>
      </c>
      <c r="J556" s="1" t="s">
        <v>22</v>
      </c>
      <c r="K556" s="2">
        <v>21.075287329999998</v>
      </c>
      <c r="L556" s="2">
        <v>106.20886929</v>
      </c>
      <c r="M556" s="1" t="s">
        <v>194</v>
      </c>
      <c r="N556" s="1" t="s">
        <v>100</v>
      </c>
      <c r="O556" s="1" t="str">
        <f>INT(K556)&amp;"°"&amp;INT(MOD(K556,1)*60)&amp;"'"&amp;
ROUND(MOD(MOD(K556,1)*60,1)*60,1)&amp;"""N"</f>
        <v>21°4'31"N</v>
      </c>
      <c r="P556" s="1" t="str">
        <f>INT(L556)&amp;"°"&amp;INT(MOD(L556,1)*60)&amp;"'"&amp;
ROUND(MOD(MOD(L556,1)*60,1)*60,1)&amp;"""E"</f>
        <v>106°12'31.9"E</v>
      </c>
      <c r="Q556" s="1" t="str">
        <f>O556 &amp; " " &amp; P556</f>
        <v>21°4'31"N 106°12'31.9"E</v>
      </c>
    </row>
    <row r="557" spans="1:17" ht="15.75" customHeight="1" x14ac:dyDescent="0.2">
      <c r="A557" s="1">
        <v>551</v>
      </c>
      <c r="B557" s="1" t="s">
        <v>2002</v>
      </c>
      <c r="C557" s="1" t="s">
        <v>15</v>
      </c>
      <c r="D557" s="1" t="s">
        <v>16</v>
      </c>
      <c r="E557" s="1" t="s">
        <v>1995</v>
      </c>
      <c r="F557" s="1" t="s">
        <v>1869</v>
      </c>
      <c r="G557" s="1" t="s">
        <v>2003</v>
      </c>
      <c r="H557" s="1" t="s">
        <v>2004</v>
      </c>
      <c r="I557" s="1" t="s">
        <v>27</v>
      </c>
      <c r="J557" s="1" t="s">
        <v>28</v>
      </c>
      <c r="K557" s="2">
        <v>21.079699640000001</v>
      </c>
      <c r="L557" s="2">
        <v>107.29657846000001</v>
      </c>
      <c r="M557" s="1" t="s">
        <v>2005</v>
      </c>
      <c r="N557" s="1" t="s">
        <v>1869</v>
      </c>
      <c r="O557" s="1" t="str">
        <f>INT(K557)&amp;"°"&amp;INT(MOD(K557,1)*60)&amp;"'"&amp;
ROUND(MOD(MOD(K557,1)*60,1)*60,1)&amp;"""N"</f>
        <v>21°4'46.9"N</v>
      </c>
      <c r="P557" s="1" t="str">
        <f>INT(L557)&amp;"°"&amp;INT(MOD(L557,1)*60)&amp;"'"&amp;
ROUND(MOD(MOD(L557,1)*60,1)*60,1)&amp;"""E"</f>
        <v>107°17'47.7"E</v>
      </c>
      <c r="Q557" s="1" t="str">
        <f>O557 &amp; " " &amp; P557</f>
        <v>21°4'46.9"N 107°17'47.7"E</v>
      </c>
    </row>
    <row r="558" spans="1:17" ht="15.75" customHeight="1" x14ac:dyDescent="0.2">
      <c r="A558" s="1">
        <v>252</v>
      </c>
      <c r="B558" s="1" t="s">
        <v>939</v>
      </c>
      <c r="C558" s="1" t="s">
        <v>15</v>
      </c>
      <c r="D558" s="1" t="s">
        <v>16</v>
      </c>
      <c r="E558" s="1" t="s">
        <v>863</v>
      </c>
      <c r="F558" s="1" t="s">
        <v>864</v>
      </c>
      <c r="G558" s="1" t="s">
        <v>940</v>
      </c>
      <c r="H558" s="1" t="s">
        <v>941</v>
      </c>
      <c r="I558" s="1" t="s">
        <v>53</v>
      </c>
      <c r="J558" s="1" t="s">
        <v>54</v>
      </c>
      <c r="K558" s="2">
        <v>21.096834489999999</v>
      </c>
      <c r="L558" s="2">
        <v>105.47963408</v>
      </c>
      <c r="M558" s="1" t="s">
        <v>942</v>
      </c>
      <c r="N558" s="1" t="s">
        <v>864</v>
      </c>
      <c r="O558" s="1" t="str">
        <f>INT(K558)&amp;"°"&amp;INT(MOD(K558,1)*60)&amp;"'"&amp;
ROUND(MOD(MOD(K558,1)*60,1)*60,1)&amp;"""N"</f>
        <v>21°5'48.6"N</v>
      </c>
      <c r="P558" s="1" t="str">
        <f>INT(L558)&amp;"°"&amp;INT(MOD(L558,1)*60)&amp;"'"&amp;
ROUND(MOD(MOD(L558,1)*60,1)*60,1)&amp;"""E"</f>
        <v>105°28'46.7"E</v>
      </c>
      <c r="Q558" s="1" t="str">
        <f>O558 &amp; " " &amp; P558</f>
        <v>21°5'48.6"N 105°28'46.7"E</v>
      </c>
    </row>
    <row r="559" spans="1:17" ht="15.75" customHeight="1" x14ac:dyDescent="0.2">
      <c r="A559" s="1">
        <v>557</v>
      </c>
      <c r="B559" s="1" t="s">
        <v>2025</v>
      </c>
      <c r="C559" s="1" t="s">
        <v>15</v>
      </c>
      <c r="D559" s="1" t="s">
        <v>16</v>
      </c>
      <c r="E559" s="1" t="s">
        <v>1995</v>
      </c>
      <c r="F559" s="1" t="s">
        <v>1869</v>
      </c>
      <c r="G559" s="1" t="s">
        <v>2026</v>
      </c>
      <c r="H559" s="1" t="s">
        <v>2027</v>
      </c>
      <c r="I559" s="1" t="s">
        <v>21</v>
      </c>
      <c r="J559" s="1" t="s">
        <v>22</v>
      </c>
      <c r="K559" s="2">
        <v>21.111559530000001</v>
      </c>
      <c r="L559" s="2">
        <v>107.03518548</v>
      </c>
      <c r="M559" s="1" t="s">
        <v>686</v>
      </c>
      <c r="N559" s="1" t="s">
        <v>1869</v>
      </c>
      <c r="O559" s="1" t="str">
        <f>INT(K559)&amp;"°"&amp;INT(MOD(K559,1)*60)&amp;"'"&amp;
ROUND(MOD(MOD(K559,1)*60,1)*60,1)&amp;"""N"</f>
        <v>21°6'41.6"N</v>
      </c>
      <c r="P559" s="1" t="str">
        <f>INT(L559)&amp;"°"&amp;INT(MOD(L559,1)*60)&amp;"'"&amp;
ROUND(MOD(MOD(L559,1)*60,1)*60,1)&amp;"""E"</f>
        <v>107°2'6.7"E</v>
      </c>
      <c r="Q559" s="1" t="str">
        <f>O559 &amp; " " &amp; P559</f>
        <v>21°6'41.6"N 107°2'6.7"E</v>
      </c>
    </row>
    <row r="560" spans="1:17" ht="15.75" customHeight="1" x14ac:dyDescent="0.2">
      <c r="A560" s="1">
        <v>554</v>
      </c>
      <c r="B560" s="1" t="s">
        <v>2013</v>
      </c>
      <c r="C560" s="1" t="s">
        <v>15</v>
      </c>
      <c r="D560" s="1" t="s">
        <v>16</v>
      </c>
      <c r="E560" s="1" t="s">
        <v>1995</v>
      </c>
      <c r="F560" s="1" t="s">
        <v>1869</v>
      </c>
      <c r="G560" s="1" t="s">
        <v>2014</v>
      </c>
      <c r="H560" s="1" t="s">
        <v>2015</v>
      </c>
      <c r="I560" s="1" t="s">
        <v>53</v>
      </c>
      <c r="J560" s="1" t="s">
        <v>54</v>
      </c>
      <c r="K560" s="2">
        <v>21.11156257</v>
      </c>
      <c r="L560" s="2">
        <v>106.58632849999999</v>
      </c>
      <c r="M560" s="1" t="s">
        <v>2016</v>
      </c>
      <c r="N560" s="1" t="s">
        <v>1869</v>
      </c>
      <c r="O560" s="1" t="str">
        <f>INT(K560)&amp;"°"&amp;INT(MOD(K560,1)*60)&amp;"'"&amp;
ROUND(MOD(MOD(K560,1)*60,1)*60,1)&amp;"""N"</f>
        <v>21°6'41.6"N</v>
      </c>
      <c r="P560" s="1" t="str">
        <f>INT(L560)&amp;"°"&amp;INT(MOD(L560,1)*60)&amp;"'"&amp;
ROUND(MOD(MOD(L560,1)*60,1)*60,1)&amp;"""E"</f>
        <v>106°35'10.8"E</v>
      </c>
      <c r="Q560" s="1" t="str">
        <f>O560 &amp; " " &amp; P560</f>
        <v>21°6'41.6"N 106°35'10.8"E</v>
      </c>
    </row>
    <row r="561" spans="1:17" ht="15.75" customHeight="1" x14ac:dyDescent="0.2">
      <c r="A561" s="1">
        <v>235</v>
      </c>
      <c r="B561" s="1" t="s">
        <v>881</v>
      </c>
      <c r="C561" s="1" t="s">
        <v>15</v>
      </c>
      <c r="D561" s="1" t="s">
        <v>16</v>
      </c>
      <c r="E561" s="1" t="s">
        <v>863</v>
      </c>
      <c r="F561" s="1" t="s">
        <v>864</v>
      </c>
      <c r="G561" s="1" t="s">
        <v>882</v>
      </c>
      <c r="H561" s="1" t="s">
        <v>883</v>
      </c>
      <c r="I561" s="1" t="s">
        <v>21</v>
      </c>
      <c r="J561" s="1" t="s">
        <v>22</v>
      </c>
      <c r="K561" s="2">
        <v>21.113819939999999</v>
      </c>
      <c r="L561" s="2">
        <v>105.67686122000001</v>
      </c>
      <c r="M561" s="1" t="s">
        <v>882</v>
      </c>
      <c r="N561" s="1" t="s">
        <v>864</v>
      </c>
      <c r="O561" s="1" t="str">
        <f>INT(K561)&amp;"°"&amp;INT(MOD(K561,1)*60)&amp;"'"&amp;
ROUND(MOD(MOD(K561,1)*60,1)*60,1)&amp;"""N"</f>
        <v>21°6'49.8"N</v>
      </c>
      <c r="P561" s="1" t="str">
        <f>INT(L561)&amp;"°"&amp;INT(MOD(L561,1)*60)&amp;"'"&amp;
ROUND(MOD(MOD(L561,1)*60,1)*60,1)&amp;"""E"</f>
        <v>105°40'36.7"E</v>
      </c>
      <c r="Q561" s="1" t="str">
        <f>O561 &amp; " " &amp; P561</f>
        <v>21°6'49.8"N 105°40'36.7"E</v>
      </c>
    </row>
    <row r="562" spans="1:17" ht="15.75" customHeight="1" x14ac:dyDescent="0.2">
      <c r="A562" s="1">
        <v>49</v>
      </c>
      <c r="B562" s="1" t="s">
        <v>206</v>
      </c>
      <c r="C562" s="1" t="s">
        <v>15</v>
      </c>
      <c r="D562" s="1" t="s">
        <v>16</v>
      </c>
      <c r="E562" s="1" t="s">
        <v>190</v>
      </c>
      <c r="F562" s="1" t="s">
        <v>100</v>
      </c>
      <c r="G562" s="1" t="s">
        <v>207</v>
      </c>
      <c r="H562" s="1" t="s">
        <v>208</v>
      </c>
      <c r="I562" s="1" t="s">
        <v>21</v>
      </c>
      <c r="J562" s="1" t="s">
        <v>22</v>
      </c>
      <c r="K562" s="2">
        <v>21.114955519999999</v>
      </c>
      <c r="L562" s="2">
        <v>106.03299647999999</v>
      </c>
      <c r="M562" s="1" t="s">
        <v>209</v>
      </c>
      <c r="N562" s="1" t="s">
        <v>100</v>
      </c>
      <c r="O562" s="1" t="str">
        <f>INT(K562)&amp;"°"&amp;INT(MOD(K562,1)*60)&amp;"'"&amp;
ROUND(MOD(MOD(K562,1)*60,1)*60,1)&amp;"""N"</f>
        <v>21°6'53.8"N</v>
      </c>
      <c r="P562" s="1" t="str">
        <f>INT(L562)&amp;"°"&amp;INT(MOD(L562,1)*60)&amp;"'"&amp;
ROUND(MOD(MOD(L562,1)*60,1)*60,1)&amp;"""E"</f>
        <v>106°1'58.8"E</v>
      </c>
      <c r="Q562" s="1" t="str">
        <f>O562 &amp; " " &amp; P562</f>
        <v>21°6'53.8"N 106°1'58.8"E</v>
      </c>
    </row>
    <row r="563" spans="1:17" ht="15.75" customHeight="1" x14ac:dyDescent="0.2">
      <c r="A563" s="1">
        <v>249</v>
      </c>
      <c r="B563" s="1" t="s">
        <v>929</v>
      </c>
      <c r="C563" s="1" t="s">
        <v>15</v>
      </c>
      <c r="D563" s="1" t="s">
        <v>16</v>
      </c>
      <c r="E563" s="1" t="s">
        <v>863</v>
      </c>
      <c r="F563" s="1" t="s">
        <v>864</v>
      </c>
      <c r="G563" s="1" t="s">
        <v>930</v>
      </c>
      <c r="H563" s="1" t="s">
        <v>931</v>
      </c>
      <c r="I563" s="1" t="s">
        <v>21</v>
      </c>
      <c r="J563" s="1" t="s">
        <v>22</v>
      </c>
      <c r="K563" s="2">
        <v>21.11720424</v>
      </c>
      <c r="L563" s="2">
        <v>105.58371775000001</v>
      </c>
      <c r="M563" s="1" t="s">
        <v>930</v>
      </c>
      <c r="N563" s="1" t="s">
        <v>864</v>
      </c>
      <c r="O563" s="1" t="str">
        <f>INT(K563)&amp;"°"&amp;INT(MOD(K563,1)*60)&amp;"'"&amp;
ROUND(MOD(MOD(K563,1)*60,1)*60,1)&amp;"""N"</f>
        <v>21°7'1.9"N</v>
      </c>
      <c r="P563" s="1" t="str">
        <f>INT(L563)&amp;"°"&amp;INT(MOD(L563,1)*60)&amp;"'"&amp;
ROUND(MOD(MOD(L563,1)*60,1)*60,1)&amp;"""E"</f>
        <v>105°35'1.4"E</v>
      </c>
      <c r="Q563" s="1" t="str">
        <f>O563 &amp; " " &amp; P563</f>
        <v>21°7'1.9"N 105°35'1.4"E</v>
      </c>
    </row>
    <row r="564" spans="1:17" ht="15.75" customHeight="1" x14ac:dyDescent="0.2">
      <c r="A564" s="1">
        <v>50</v>
      </c>
      <c r="B564" s="1" t="s">
        <v>210</v>
      </c>
      <c r="C564" s="1" t="s">
        <v>15</v>
      </c>
      <c r="D564" s="1" t="s">
        <v>16</v>
      </c>
      <c r="E564" s="1" t="s">
        <v>190</v>
      </c>
      <c r="F564" s="1" t="s">
        <v>100</v>
      </c>
      <c r="G564" s="1" t="s">
        <v>211</v>
      </c>
      <c r="H564" s="1" t="s">
        <v>212</v>
      </c>
      <c r="I564" s="1" t="s">
        <v>53</v>
      </c>
      <c r="J564" s="1" t="s">
        <v>54</v>
      </c>
      <c r="K564" s="2">
        <v>21.126600870000001</v>
      </c>
      <c r="L564" s="2">
        <v>105.95957717</v>
      </c>
      <c r="M564" s="1" t="s">
        <v>213</v>
      </c>
      <c r="N564" s="1" t="s">
        <v>100</v>
      </c>
      <c r="O564" s="1" t="str">
        <f>INT(K564)&amp;"°"&amp;INT(MOD(K564,1)*60)&amp;"'"&amp;
ROUND(MOD(MOD(K564,1)*60,1)*60,1)&amp;"""N"</f>
        <v>21°7'35.8"N</v>
      </c>
      <c r="P564" s="1" t="str">
        <f>INT(L564)&amp;"°"&amp;INT(MOD(L564,1)*60)&amp;"'"&amp;
ROUND(MOD(MOD(L564,1)*60,1)*60,1)&amp;"""E"</f>
        <v>105°57'34.5"E</v>
      </c>
      <c r="Q564" s="1" t="str">
        <f>O564 &amp; " " &amp; P564</f>
        <v>21°7'35.8"N 105°57'34.5"E</v>
      </c>
    </row>
    <row r="565" spans="1:17" ht="15.75" customHeight="1" x14ac:dyDescent="0.2">
      <c r="A565" s="1">
        <v>275</v>
      </c>
      <c r="B565" s="1" t="s">
        <v>1023</v>
      </c>
      <c r="C565" s="1" t="s">
        <v>15</v>
      </c>
      <c r="D565" s="1" t="s">
        <v>16</v>
      </c>
      <c r="E565" s="1" t="s">
        <v>1014</v>
      </c>
      <c r="F565" s="1" t="s">
        <v>1015</v>
      </c>
      <c r="G565" s="1" t="s">
        <v>1024</v>
      </c>
      <c r="H565" s="1" t="s">
        <v>1025</v>
      </c>
      <c r="I565" s="1" t="s">
        <v>53</v>
      </c>
      <c r="J565" s="1" t="s">
        <v>54</v>
      </c>
      <c r="K565" s="2">
        <v>21.134354869999999</v>
      </c>
      <c r="L565" s="2">
        <v>106.4008505</v>
      </c>
      <c r="M565" s="1" t="s">
        <v>1026</v>
      </c>
      <c r="N565" s="1" t="s">
        <v>1019</v>
      </c>
      <c r="O565" s="1" t="str">
        <f>INT(K565)&amp;"°"&amp;INT(MOD(K565,1)*60)&amp;"'"&amp;
ROUND(MOD(MOD(K565,1)*60,1)*60,1)&amp;"""N"</f>
        <v>21°8'3.7"N</v>
      </c>
      <c r="P565" s="1" t="str">
        <f>INT(L565)&amp;"°"&amp;INT(MOD(L565,1)*60)&amp;"'"&amp;
ROUND(MOD(MOD(L565,1)*60,1)*60,1)&amp;"""E"</f>
        <v>106°24'3.1"E</v>
      </c>
      <c r="Q565" s="1" t="str">
        <f>O565 &amp; " " &amp; P565</f>
        <v>21°8'3.7"N 106°24'3.1"E</v>
      </c>
    </row>
    <row r="566" spans="1:17" ht="15.75" customHeight="1" x14ac:dyDescent="0.2">
      <c r="A566" s="1">
        <v>236</v>
      </c>
      <c r="B566" s="1" t="s">
        <v>884</v>
      </c>
      <c r="C566" s="1" t="s">
        <v>15</v>
      </c>
      <c r="D566" s="1" t="s">
        <v>16</v>
      </c>
      <c r="E566" s="1" t="s">
        <v>863</v>
      </c>
      <c r="F566" s="1" t="s">
        <v>864</v>
      </c>
      <c r="G566" s="1" t="s">
        <v>885</v>
      </c>
      <c r="H566" s="1" t="s">
        <v>886</v>
      </c>
      <c r="I566" s="1" t="s">
        <v>21</v>
      </c>
      <c r="J566" s="1" t="s">
        <v>22</v>
      </c>
      <c r="K566" s="2">
        <v>21.136733410000001</v>
      </c>
      <c r="L566" s="2">
        <v>105.84025066</v>
      </c>
      <c r="M566" s="1" t="s">
        <v>887</v>
      </c>
      <c r="N566" s="1" t="s">
        <v>864</v>
      </c>
      <c r="O566" s="1" t="str">
        <f>INT(K566)&amp;"°"&amp;INT(MOD(K566,1)*60)&amp;"'"&amp;
ROUND(MOD(MOD(K566,1)*60,1)*60,1)&amp;"""N"</f>
        <v>21°8'12.2"N</v>
      </c>
      <c r="P566" s="1" t="str">
        <f>INT(L566)&amp;"°"&amp;INT(MOD(L566,1)*60)&amp;"'"&amp;
ROUND(MOD(MOD(L566,1)*60,1)*60,1)&amp;"""E"</f>
        <v>105°50'24.9"E</v>
      </c>
      <c r="Q566" s="1" t="str">
        <f>O566 &amp; " " &amp; P566</f>
        <v>21°8'12.2"N 105°50'24.9"E</v>
      </c>
    </row>
    <row r="567" spans="1:17" ht="15.75" customHeight="1" x14ac:dyDescent="0.2">
      <c r="A567" s="1">
        <v>47</v>
      </c>
      <c r="B567" s="1" t="s">
        <v>200</v>
      </c>
      <c r="C567" s="1" t="s">
        <v>15</v>
      </c>
      <c r="D567" s="1" t="s">
        <v>16</v>
      </c>
      <c r="E567" s="1" t="s">
        <v>190</v>
      </c>
      <c r="F567" s="1" t="s">
        <v>100</v>
      </c>
      <c r="G567" s="1" t="s">
        <v>201</v>
      </c>
      <c r="H567" s="1" t="s">
        <v>202</v>
      </c>
      <c r="I567" s="1" t="s">
        <v>21</v>
      </c>
      <c r="J567" s="1" t="s">
        <v>22</v>
      </c>
      <c r="K567" s="2">
        <v>21.141075879999999</v>
      </c>
      <c r="L567" s="2">
        <v>106.17870360000001</v>
      </c>
      <c r="M567" s="1" t="s">
        <v>201</v>
      </c>
      <c r="N567" s="1" t="s">
        <v>100</v>
      </c>
      <c r="O567" s="1" t="str">
        <f>INT(K567)&amp;"°"&amp;INT(MOD(K567,1)*60)&amp;"'"&amp;
ROUND(MOD(MOD(K567,1)*60,1)*60,1)&amp;"""N"</f>
        <v>21°8'27.9"N</v>
      </c>
      <c r="P567" s="1" t="str">
        <f>INT(L567)&amp;"°"&amp;INT(MOD(L567,1)*60)&amp;"'"&amp;
ROUND(MOD(MOD(L567,1)*60,1)*60,1)&amp;"""E"</f>
        <v>106°10'43.3"E</v>
      </c>
      <c r="Q567" s="1" t="str">
        <f>O567 &amp; " " &amp; P567</f>
        <v>21°8'27.9"N 106°10'43.3"E</v>
      </c>
    </row>
    <row r="568" spans="1:17" ht="15.75" customHeight="1" x14ac:dyDescent="0.2">
      <c r="A568" s="1">
        <v>231</v>
      </c>
      <c r="B568" s="1" t="s">
        <v>867</v>
      </c>
      <c r="C568" s="1" t="s">
        <v>15</v>
      </c>
      <c r="D568" s="1" t="s">
        <v>16</v>
      </c>
      <c r="E568" s="1" t="s">
        <v>863</v>
      </c>
      <c r="F568" s="1" t="s">
        <v>864</v>
      </c>
      <c r="G568" s="1" t="s">
        <v>868</v>
      </c>
      <c r="H568" s="1" t="s">
        <v>869</v>
      </c>
      <c r="I568" s="1" t="s">
        <v>21</v>
      </c>
      <c r="J568" s="1" t="s">
        <v>22</v>
      </c>
      <c r="K568" s="2">
        <v>21.141222899999999</v>
      </c>
      <c r="L568" s="2">
        <v>105.38288106</v>
      </c>
      <c r="M568" s="1" t="s">
        <v>870</v>
      </c>
      <c r="N568" s="1" t="s">
        <v>864</v>
      </c>
      <c r="O568" s="1" t="str">
        <f>INT(K568)&amp;"°"&amp;INT(MOD(K568,1)*60)&amp;"'"&amp;
ROUND(MOD(MOD(K568,1)*60,1)*60,1)&amp;"""N"</f>
        <v>21°8'28.4"N</v>
      </c>
      <c r="P568" s="1" t="str">
        <f>INT(L568)&amp;"°"&amp;INT(MOD(L568,1)*60)&amp;"'"&amp;
ROUND(MOD(MOD(L568,1)*60,1)*60,1)&amp;"""E"</f>
        <v>105°22'58.4"E</v>
      </c>
      <c r="Q568" s="1" t="str">
        <f>O568 &amp; " " &amp; P568</f>
        <v>21°8'28.4"N 105°22'58.4"E</v>
      </c>
    </row>
    <row r="569" spans="1:17" ht="15.75" customHeight="1" x14ac:dyDescent="0.2">
      <c r="A569" s="1">
        <v>497</v>
      </c>
      <c r="B569" s="1" t="s">
        <v>1802</v>
      </c>
      <c r="C569" s="1" t="s">
        <v>15</v>
      </c>
      <c r="D569" s="1" t="s">
        <v>16</v>
      </c>
      <c r="E569" s="1" t="s">
        <v>1770</v>
      </c>
      <c r="F569" s="1" t="s">
        <v>1225</v>
      </c>
      <c r="G569" s="1" t="s">
        <v>1803</v>
      </c>
      <c r="H569" s="1" t="s">
        <v>1804</v>
      </c>
      <c r="I569" s="1" t="s">
        <v>21</v>
      </c>
      <c r="J569" s="1" t="s">
        <v>22</v>
      </c>
      <c r="K569" s="2">
        <v>21.141656229999999</v>
      </c>
      <c r="L569" s="2">
        <v>105.28354754999999</v>
      </c>
      <c r="M569" s="1" t="s">
        <v>1803</v>
      </c>
      <c r="N569" s="1" t="s">
        <v>1225</v>
      </c>
      <c r="O569" s="1" t="str">
        <f>INT(K569)&amp;"°"&amp;INT(MOD(K569,1)*60)&amp;"'"&amp;
ROUND(MOD(MOD(K569,1)*60,1)*60,1)&amp;"""N"</f>
        <v>21°8'30"N</v>
      </c>
      <c r="P569" s="1" t="str">
        <f>INT(L569)&amp;"°"&amp;INT(MOD(L569,1)*60)&amp;"'"&amp;
ROUND(MOD(MOD(L569,1)*60,1)*60,1)&amp;"""E"</f>
        <v>105°17'0.8"E</v>
      </c>
      <c r="Q569" s="1" t="str">
        <f>O569 &amp; " " &amp; P569</f>
        <v>21°8'30"N 105°17'0.8"E</v>
      </c>
    </row>
    <row r="570" spans="1:17" ht="15.75" customHeight="1" x14ac:dyDescent="0.2">
      <c r="A570" s="1">
        <v>585</v>
      </c>
      <c r="B570" s="1" t="s">
        <v>2124</v>
      </c>
      <c r="C570" s="1" t="s">
        <v>15</v>
      </c>
      <c r="D570" s="1" t="s">
        <v>16</v>
      </c>
      <c r="E570" s="1" t="s">
        <v>2120</v>
      </c>
      <c r="F570" s="1" t="s">
        <v>2121</v>
      </c>
      <c r="G570" s="1" t="s">
        <v>2125</v>
      </c>
      <c r="H570" s="1" t="s">
        <v>2126</v>
      </c>
      <c r="I570" s="1" t="s">
        <v>21</v>
      </c>
      <c r="J570" s="1" t="s">
        <v>22</v>
      </c>
      <c r="K570" s="2">
        <v>21.16959851</v>
      </c>
      <c r="L570" s="2">
        <v>104.01714561</v>
      </c>
      <c r="M570" s="1" t="s">
        <v>2127</v>
      </c>
      <c r="N570" s="1" t="s">
        <v>2121</v>
      </c>
      <c r="O570" s="1" t="str">
        <f>INT(K570)&amp;"°"&amp;INT(MOD(K570,1)*60)&amp;"'"&amp;
ROUND(MOD(MOD(K570,1)*60,1)*60,1)&amp;"""N"</f>
        <v>21°10'10.6"N</v>
      </c>
      <c r="P570" s="1" t="str">
        <f>INT(L570)&amp;"°"&amp;INT(MOD(L570,1)*60)&amp;"'"&amp;
ROUND(MOD(MOD(L570,1)*60,1)*60,1)&amp;"""E"</f>
        <v>104°1'1.7"E</v>
      </c>
      <c r="Q570" s="1" t="str">
        <f>O570 &amp; " " &amp; P570</f>
        <v>21°10'10.6"N 104°1'1.7"E</v>
      </c>
    </row>
    <row r="571" spans="1:17" ht="15.75" customHeight="1" x14ac:dyDescent="0.2">
      <c r="A571" s="1">
        <v>44</v>
      </c>
      <c r="B571" s="1" t="s">
        <v>189</v>
      </c>
      <c r="C571" s="1" t="s">
        <v>15</v>
      </c>
      <c r="D571" s="1" t="s">
        <v>16</v>
      </c>
      <c r="E571" s="1" t="s">
        <v>190</v>
      </c>
      <c r="F571" s="1" t="s">
        <v>100</v>
      </c>
      <c r="G571" s="1" t="s">
        <v>100</v>
      </c>
      <c r="H571" s="1" t="s">
        <v>191</v>
      </c>
      <c r="I571" s="1" t="s">
        <v>27</v>
      </c>
      <c r="J571" s="1" t="s">
        <v>28</v>
      </c>
      <c r="K571" s="2">
        <v>21.170609710000001</v>
      </c>
      <c r="L571" s="2">
        <v>106.07413346</v>
      </c>
      <c r="M571" s="1" t="s">
        <v>192</v>
      </c>
      <c r="N571" s="1" t="s">
        <v>100</v>
      </c>
      <c r="O571" s="1" t="str">
        <f>INT(K571)&amp;"°"&amp;INT(MOD(K571,1)*60)&amp;"'"&amp;
ROUND(MOD(MOD(K571,1)*60,1)*60,1)&amp;"""N"</f>
        <v>21°10'14.2"N</v>
      </c>
      <c r="P571" s="1" t="str">
        <f>INT(L571)&amp;"°"&amp;INT(MOD(L571,1)*60)&amp;"'"&amp;
ROUND(MOD(MOD(L571,1)*60,1)*60,1)&amp;"""E"</f>
        <v>106°4'26.9"E</v>
      </c>
      <c r="Q571" s="1" t="str">
        <f>O571 &amp; " " &amp; P571</f>
        <v>21°10'14.2"N 106°4'26.9"E</v>
      </c>
    </row>
    <row r="572" spans="1:17" ht="15.75" customHeight="1" x14ac:dyDescent="0.2">
      <c r="A572" s="1">
        <v>245</v>
      </c>
      <c r="B572" s="1" t="s">
        <v>915</v>
      </c>
      <c r="C572" s="1" t="s">
        <v>15</v>
      </c>
      <c r="D572" s="1" t="s">
        <v>16</v>
      </c>
      <c r="E572" s="1" t="s">
        <v>863</v>
      </c>
      <c r="F572" s="1" t="s">
        <v>864</v>
      </c>
      <c r="G572" s="1" t="s">
        <v>916</v>
      </c>
      <c r="H572" s="1" t="s">
        <v>917</v>
      </c>
      <c r="I572" s="1" t="s">
        <v>21</v>
      </c>
      <c r="J572" s="1" t="s">
        <v>22</v>
      </c>
      <c r="K572" s="2">
        <v>21.1834208</v>
      </c>
      <c r="L572" s="2">
        <v>105.70629583</v>
      </c>
      <c r="M572" s="1" t="s">
        <v>918</v>
      </c>
      <c r="N572" s="1" t="s">
        <v>864</v>
      </c>
      <c r="O572" s="1" t="str">
        <f>INT(K572)&amp;"°"&amp;INT(MOD(K572,1)*60)&amp;"'"&amp;
ROUND(MOD(MOD(K572,1)*60,1)*60,1)&amp;"""N"</f>
        <v>21°11'0.3"N</v>
      </c>
      <c r="P572" s="1" t="str">
        <f>INT(L572)&amp;"°"&amp;INT(MOD(L572,1)*60)&amp;"'"&amp;
ROUND(MOD(MOD(L572,1)*60,1)*60,1)&amp;"""E"</f>
        <v>105°42'22.7"E</v>
      </c>
      <c r="Q572" s="1" t="str">
        <f>O572 &amp; " " &amp; P572</f>
        <v>21°11'0.3"N 105°42'22.7"E</v>
      </c>
    </row>
    <row r="573" spans="1:17" ht="15.75" customHeight="1" x14ac:dyDescent="0.2">
      <c r="A573" s="1">
        <v>494</v>
      </c>
      <c r="B573" s="1" t="s">
        <v>1791</v>
      </c>
      <c r="C573" s="1" t="s">
        <v>15</v>
      </c>
      <c r="D573" s="1" t="s">
        <v>16</v>
      </c>
      <c r="E573" s="1" t="s">
        <v>1770</v>
      </c>
      <c r="F573" s="1" t="s">
        <v>1225</v>
      </c>
      <c r="G573" s="1" t="s">
        <v>1792</v>
      </c>
      <c r="H573" s="1" t="s">
        <v>1793</v>
      </c>
      <c r="I573" s="1" t="s">
        <v>21</v>
      </c>
      <c r="J573" s="1" t="s">
        <v>22</v>
      </c>
      <c r="K573" s="2">
        <v>21.186349119999999</v>
      </c>
      <c r="L573" s="2">
        <v>104.97598743</v>
      </c>
      <c r="M573" s="1" t="s">
        <v>1794</v>
      </c>
      <c r="N573" s="1" t="s">
        <v>1225</v>
      </c>
      <c r="O573" s="1" t="str">
        <f>INT(K573)&amp;"°"&amp;INT(MOD(K573,1)*60)&amp;"'"&amp;
ROUND(MOD(MOD(K573,1)*60,1)*60,1)&amp;"""N"</f>
        <v>21°11'10.9"N</v>
      </c>
      <c r="P573" s="1" t="str">
        <f>INT(L573)&amp;"°"&amp;INT(MOD(L573,1)*60)&amp;"'"&amp;
ROUND(MOD(MOD(L573,1)*60,1)*60,1)&amp;"""E"</f>
        <v>104°58'33.6"E</v>
      </c>
      <c r="Q573" s="1" t="str">
        <f>O573 &amp; " " &amp; P573</f>
        <v>21°11'10.9"N 104°58'33.6"E</v>
      </c>
    </row>
    <row r="574" spans="1:17" ht="15.75" customHeight="1" x14ac:dyDescent="0.2">
      <c r="A574" s="1">
        <v>588</v>
      </c>
      <c r="B574" s="1" t="s">
        <v>2134</v>
      </c>
      <c r="C574" s="1" t="s">
        <v>15</v>
      </c>
      <c r="D574" s="1" t="s">
        <v>16</v>
      </c>
      <c r="E574" s="1" t="s">
        <v>2120</v>
      </c>
      <c r="F574" s="1" t="s">
        <v>2121</v>
      </c>
      <c r="G574" s="1" t="s">
        <v>2135</v>
      </c>
      <c r="H574" s="1" t="s">
        <v>2136</v>
      </c>
      <c r="I574" s="1" t="s">
        <v>21</v>
      </c>
      <c r="J574" s="1" t="s">
        <v>22</v>
      </c>
      <c r="K574" s="2">
        <v>21.205039939999999</v>
      </c>
      <c r="L574" s="2">
        <v>104.68945494</v>
      </c>
      <c r="M574" s="1" t="s">
        <v>2135</v>
      </c>
      <c r="N574" s="1" t="s">
        <v>2121</v>
      </c>
      <c r="O574" s="1" t="str">
        <f>INT(K574)&amp;"°"&amp;INT(MOD(K574,1)*60)&amp;"'"&amp;
ROUND(MOD(MOD(K574,1)*60,1)*60,1)&amp;"""N"</f>
        <v>21°12'18.1"N</v>
      </c>
      <c r="P574" s="1" t="str">
        <f>INT(L574)&amp;"°"&amp;INT(MOD(L574,1)*60)&amp;"'"&amp;
ROUND(MOD(MOD(L574,1)*60,1)*60,1)&amp;"""E"</f>
        <v>104°41'22"E</v>
      </c>
      <c r="Q574" s="1" t="str">
        <f>O574 &amp; " " &amp; P574</f>
        <v>21°12'18.1"N 104°41'22"E</v>
      </c>
    </row>
    <row r="575" spans="1:17" ht="15.75" customHeight="1" x14ac:dyDescent="0.2">
      <c r="A575" s="1">
        <v>51</v>
      </c>
      <c r="B575" s="1" t="s">
        <v>214</v>
      </c>
      <c r="C575" s="1" t="s">
        <v>15</v>
      </c>
      <c r="D575" s="1" t="s">
        <v>16</v>
      </c>
      <c r="E575" s="1" t="s">
        <v>190</v>
      </c>
      <c r="F575" s="1" t="s">
        <v>100</v>
      </c>
      <c r="G575" s="1" t="s">
        <v>215</v>
      </c>
      <c r="H575" s="1" t="s">
        <v>216</v>
      </c>
      <c r="I575" s="1" t="s">
        <v>21</v>
      </c>
      <c r="J575" s="1" t="s">
        <v>22</v>
      </c>
      <c r="K575" s="2">
        <v>21.208101150000001</v>
      </c>
      <c r="L575" s="2">
        <v>105.97369535999999</v>
      </c>
      <c r="M575" s="1" t="s">
        <v>215</v>
      </c>
      <c r="N575" s="1" t="s">
        <v>100</v>
      </c>
      <c r="O575" s="1" t="str">
        <f>INT(K575)&amp;"°"&amp;INT(MOD(K575,1)*60)&amp;"'"&amp;
ROUND(MOD(MOD(K575,1)*60,1)*60,1)&amp;"""N"</f>
        <v>21°12'29.2"N</v>
      </c>
      <c r="P575" s="1" t="str">
        <f>INT(L575)&amp;"°"&amp;INT(MOD(L575,1)*60)&amp;"'"&amp;
ROUND(MOD(MOD(L575,1)*60,1)*60,1)&amp;"""E"</f>
        <v>105°58'25.3"E</v>
      </c>
      <c r="Q575" s="1" t="str">
        <f>O575 &amp; " " &amp; P575</f>
        <v>21°12'29.2"N 105°58'25.3"E</v>
      </c>
    </row>
    <row r="576" spans="1:17" ht="15.75" customHeight="1" x14ac:dyDescent="0.2">
      <c r="A576" s="1">
        <v>27</v>
      </c>
      <c r="B576" s="1" t="s">
        <v>125</v>
      </c>
      <c r="C576" s="1" t="s">
        <v>15</v>
      </c>
      <c r="D576" s="1" t="s">
        <v>16</v>
      </c>
      <c r="E576" s="1" t="s">
        <v>97</v>
      </c>
      <c r="F576" s="1" t="s">
        <v>98</v>
      </c>
      <c r="G576" s="1" t="s">
        <v>126</v>
      </c>
      <c r="H576" s="1" t="s">
        <v>127</v>
      </c>
      <c r="I576" s="1" t="s">
        <v>21</v>
      </c>
      <c r="J576" s="1" t="s">
        <v>22</v>
      </c>
      <c r="K576" s="2">
        <v>21.208478039999999</v>
      </c>
      <c r="L576" s="2">
        <v>106.25262361</v>
      </c>
      <c r="M576" s="1" t="s">
        <v>128</v>
      </c>
      <c r="N576" s="1" t="s">
        <v>100</v>
      </c>
      <c r="O576" s="1" t="str">
        <f>INT(K576)&amp;"°"&amp;INT(MOD(K576,1)*60)&amp;"'"&amp;
ROUND(MOD(MOD(K576,1)*60,1)*60,1)&amp;"""N"</f>
        <v>21°12'30.5"N</v>
      </c>
      <c r="P576" s="1" t="str">
        <f>INT(L576)&amp;"°"&amp;INT(MOD(L576,1)*60)&amp;"'"&amp;
ROUND(MOD(MOD(L576,1)*60,1)*60,1)&amp;"""E"</f>
        <v>106°15'9.4"E</v>
      </c>
      <c r="Q576" s="1" t="str">
        <f>O576 &amp; " " &amp; P576</f>
        <v>21°12'30.5"N 106°15'9.4"E</v>
      </c>
    </row>
    <row r="577" spans="1:17" ht="15.75" customHeight="1" x14ac:dyDescent="0.2">
      <c r="A577" s="1">
        <v>701</v>
      </c>
      <c r="B577" s="1" t="s">
        <v>2525</v>
      </c>
      <c r="C577" s="1" t="s">
        <v>15</v>
      </c>
      <c r="D577" s="1" t="s">
        <v>16</v>
      </c>
      <c r="E577" s="1" t="s">
        <v>2499</v>
      </c>
      <c r="F577" s="1" t="s">
        <v>2500</v>
      </c>
      <c r="G577" s="1" t="s">
        <v>2526</v>
      </c>
      <c r="H577" s="1" t="s">
        <v>2527</v>
      </c>
      <c r="I577" s="1" t="s">
        <v>21</v>
      </c>
      <c r="J577" s="1" t="s">
        <v>22</v>
      </c>
      <c r="K577" s="2">
        <v>21.220329719999999</v>
      </c>
      <c r="L577" s="2">
        <v>105.57605340000001</v>
      </c>
      <c r="M577" s="1" t="s">
        <v>2528</v>
      </c>
      <c r="N577" s="1" t="s">
        <v>1225</v>
      </c>
      <c r="O577" s="1" t="str">
        <f>INT(K577)&amp;"°"&amp;INT(MOD(K577,1)*60)&amp;"'"&amp;
ROUND(MOD(MOD(K577,1)*60,1)*60,1)&amp;"""N"</f>
        <v>21°13'13.2"N</v>
      </c>
      <c r="P577" s="1" t="str">
        <f>INT(L577)&amp;"°"&amp;INT(MOD(L577,1)*60)&amp;"'"&amp;
ROUND(MOD(MOD(L577,1)*60,1)*60,1)&amp;"""E"</f>
        <v>105°34'33.8"E</v>
      </c>
      <c r="Q577" s="1" t="str">
        <f>O577 &amp; " " &amp; P577</f>
        <v>21°13'13.2"N 105°34'33.8"E</v>
      </c>
    </row>
    <row r="578" spans="1:17" ht="15.75" customHeight="1" x14ac:dyDescent="0.2">
      <c r="A578" s="1">
        <v>164</v>
      </c>
      <c r="B578" s="1" t="s">
        <v>628</v>
      </c>
      <c r="C578" s="1" t="s">
        <v>15</v>
      </c>
      <c r="D578" s="1" t="s">
        <v>16</v>
      </c>
      <c r="E578" s="1" t="s">
        <v>624</v>
      </c>
      <c r="F578" s="1" t="s">
        <v>625</v>
      </c>
      <c r="G578" s="1" t="s">
        <v>629</v>
      </c>
      <c r="H578" s="1" t="s">
        <v>630</v>
      </c>
      <c r="I578" s="1" t="s">
        <v>21</v>
      </c>
      <c r="J578" s="1" t="s">
        <v>22</v>
      </c>
      <c r="K578" s="2">
        <v>21.241383020000001</v>
      </c>
      <c r="L578" s="2">
        <v>103.25904158</v>
      </c>
      <c r="M578" s="1" t="s">
        <v>631</v>
      </c>
      <c r="N578" s="1" t="s">
        <v>625</v>
      </c>
      <c r="O578" s="1" t="str">
        <f>INT(K578)&amp;"°"&amp;INT(MOD(K578,1)*60)&amp;"'"&amp;
ROUND(MOD(MOD(K578,1)*60,1)*60,1)&amp;"""N"</f>
        <v>21°14'29"N</v>
      </c>
      <c r="P578" s="1" t="str">
        <f>INT(L578)&amp;"°"&amp;INT(MOD(L578,1)*60)&amp;"'"&amp;
ROUND(MOD(MOD(L578,1)*60,1)*60,1)&amp;"""E"</f>
        <v>103°15'32.5"E</v>
      </c>
      <c r="Q578" s="1" t="str">
        <f>O578 &amp; " " &amp; P578</f>
        <v>21°14'29"N 103°15'32.5"E</v>
      </c>
    </row>
    <row r="579" spans="1:17" ht="15.75" customHeight="1" x14ac:dyDescent="0.2">
      <c r="A579" s="1">
        <v>699</v>
      </c>
      <c r="B579" s="1" t="s">
        <v>2519</v>
      </c>
      <c r="C579" s="1" t="s">
        <v>15</v>
      </c>
      <c r="D579" s="1" t="s">
        <v>16</v>
      </c>
      <c r="E579" s="1" t="s">
        <v>2499</v>
      </c>
      <c r="F579" s="1" t="s">
        <v>2500</v>
      </c>
      <c r="G579" s="1" t="s">
        <v>1131</v>
      </c>
      <c r="H579" s="1" t="s">
        <v>2520</v>
      </c>
      <c r="I579" s="1" t="s">
        <v>21</v>
      </c>
      <c r="J579" s="1" t="s">
        <v>22</v>
      </c>
      <c r="K579" s="2">
        <v>21.242288089999999</v>
      </c>
      <c r="L579" s="2">
        <v>105.4986026</v>
      </c>
      <c r="M579" s="1" t="s">
        <v>2521</v>
      </c>
      <c r="N579" s="1" t="s">
        <v>1225</v>
      </c>
      <c r="O579" s="1" t="str">
        <f>INT(K579)&amp;"°"&amp;INT(MOD(K579,1)*60)&amp;"'"&amp;
ROUND(MOD(MOD(K579,1)*60,1)*60,1)&amp;"""N"</f>
        <v>21°14'32.2"N</v>
      </c>
      <c r="P579" s="1" t="str">
        <f>INT(L579)&amp;"°"&amp;INT(MOD(L579,1)*60)&amp;"'"&amp;
ROUND(MOD(MOD(L579,1)*60,1)*60,1)&amp;"""E"</f>
        <v>105°29'55"E</v>
      </c>
      <c r="Q579" s="1" t="str">
        <f>O579 &amp; " " &amp; P579</f>
        <v>21°14'32.2"N 105°29'55"E</v>
      </c>
    </row>
    <row r="580" spans="1:17" ht="15.75" customHeight="1" x14ac:dyDescent="0.2">
      <c r="A580" s="1">
        <v>584</v>
      </c>
      <c r="B580" s="1" t="s">
        <v>2119</v>
      </c>
      <c r="C580" s="1" t="s">
        <v>15</v>
      </c>
      <c r="D580" s="1" t="s">
        <v>16</v>
      </c>
      <c r="E580" s="1" t="s">
        <v>2120</v>
      </c>
      <c r="F580" s="1" t="s">
        <v>2121</v>
      </c>
      <c r="G580" s="1" t="s">
        <v>2122</v>
      </c>
      <c r="H580" s="1" t="s">
        <v>2123</v>
      </c>
      <c r="I580" s="1" t="s">
        <v>21</v>
      </c>
      <c r="J580" s="1" t="s">
        <v>22</v>
      </c>
      <c r="K580" s="2">
        <v>21.24682602</v>
      </c>
      <c r="L580" s="2">
        <v>104.38943816</v>
      </c>
      <c r="M580" s="1" t="s">
        <v>2122</v>
      </c>
      <c r="N580" s="1" t="s">
        <v>2121</v>
      </c>
      <c r="O580" s="1" t="str">
        <f>INT(K580)&amp;"°"&amp;INT(MOD(K580,1)*60)&amp;"'"&amp;
ROUND(MOD(MOD(K580,1)*60,1)*60,1)&amp;"""N"</f>
        <v>21°14'48.6"N</v>
      </c>
      <c r="P580" s="1" t="str">
        <f>INT(L580)&amp;"°"&amp;INT(MOD(L580,1)*60)&amp;"'"&amp;
ROUND(MOD(MOD(L580,1)*60,1)*60,1)&amp;"""E"</f>
        <v>104°23'22"E</v>
      </c>
      <c r="Q580" s="1" t="str">
        <f>O580 &amp; " " &amp; P580</f>
        <v>21°14'48.6"N 104°23'22"E</v>
      </c>
    </row>
    <row r="581" spans="1:17" ht="15.75" customHeight="1" x14ac:dyDescent="0.2">
      <c r="A581" s="1">
        <v>163</v>
      </c>
      <c r="B581" s="1" t="s">
        <v>623</v>
      </c>
      <c r="C581" s="1" t="s">
        <v>15</v>
      </c>
      <c r="D581" s="1" t="s">
        <v>16</v>
      </c>
      <c r="E581" s="1" t="s">
        <v>624</v>
      </c>
      <c r="F581" s="1" t="s">
        <v>625</v>
      </c>
      <c r="G581" s="1" t="s">
        <v>625</v>
      </c>
      <c r="H581" s="1" t="s">
        <v>626</v>
      </c>
      <c r="I581" s="1" t="s">
        <v>21</v>
      </c>
      <c r="J581" s="1" t="s">
        <v>22</v>
      </c>
      <c r="K581" s="2">
        <v>21.2513179</v>
      </c>
      <c r="L581" s="2">
        <v>103.05710198</v>
      </c>
      <c r="M581" s="1" t="s">
        <v>627</v>
      </c>
      <c r="N581" s="1" t="s">
        <v>625</v>
      </c>
      <c r="O581" s="1" t="str">
        <f>INT(K581)&amp;"°"&amp;INT(MOD(K581,1)*60)&amp;"'"&amp;
ROUND(MOD(MOD(K581,1)*60,1)*60,1)&amp;"""N"</f>
        <v>21°15'4.7"N</v>
      </c>
      <c r="P581" s="1" t="str">
        <f>INT(L581)&amp;"°"&amp;INT(MOD(L581,1)*60)&amp;"'"&amp;
ROUND(MOD(MOD(L581,1)*60,1)*60,1)&amp;"""E"</f>
        <v>103°3'25.6"E</v>
      </c>
      <c r="Q581" s="1" t="str">
        <f>O581 &amp; " " &amp; P581</f>
        <v>21°15'4.7"N 103°3'25.6"E</v>
      </c>
    </row>
    <row r="582" spans="1:17" ht="15.75" customHeight="1" x14ac:dyDescent="0.2">
      <c r="A582" s="1">
        <v>549</v>
      </c>
      <c r="B582" s="1" t="s">
        <v>1994</v>
      </c>
      <c r="C582" s="1" t="s">
        <v>15</v>
      </c>
      <c r="D582" s="1" t="s">
        <v>16</v>
      </c>
      <c r="E582" s="1" t="s">
        <v>1995</v>
      </c>
      <c r="F582" s="1" t="s">
        <v>1869</v>
      </c>
      <c r="G582" s="1" t="s">
        <v>1996</v>
      </c>
      <c r="H582" s="1" t="s">
        <v>1997</v>
      </c>
      <c r="I582" s="1" t="s">
        <v>21</v>
      </c>
      <c r="J582" s="1" t="s">
        <v>22</v>
      </c>
      <c r="K582" s="2">
        <v>21.269479069999999</v>
      </c>
      <c r="L582" s="2">
        <v>107.18004019999999</v>
      </c>
      <c r="M582" s="1" t="s">
        <v>1996</v>
      </c>
      <c r="N582" s="1" t="s">
        <v>1869</v>
      </c>
      <c r="O582" s="1" t="str">
        <f>INT(K582)&amp;"°"&amp;INT(MOD(K582,1)*60)&amp;"'"&amp;
ROUND(MOD(MOD(K582,1)*60,1)*60,1)&amp;"""N"</f>
        <v>21°16'10.1"N</v>
      </c>
      <c r="P582" s="1" t="str">
        <f>INT(L582)&amp;"°"&amp;INT(MOD(L582,1)*60)&amp;"'"&amp;
ROUND(MOD(MOD(L582,1)*60,1)*60,1)&amp;"""E"</f>
        <v>107°10'48.1"E</v>
      </c>
      <c r="Q582" s="1" t="str">
        <f>O582 &amp; " " &amp; P582</f>
        <v>21°16'10.1"N 107°10'48.1"E</v>
      </c>
    </row>
    <row r="583" spans="1:17" ht="15.75" customHeight="1" x14ac:dyDescent="0.2">
      <c r="A583" s="1">
        <v>251</v>
      </c>
      <c r="B583" s="1" t="s">
        <v>936</v>
      </c>
      <c r="C583" s="1" t="s">
        <v>15</v>
      </c>
      <c r="D583" s="1" t="s">
        <v>16</v>
      </c>
      <c r="E583" s="1" t="s">
        <v>863</v>
      </c>
      <c r="F583" s="1" t="s">
        <v>864</v>
      </c>
      <c r="G583" s="1" t="s">
        <v>937</v>
      </c>
      <c r="H583" s="1" t="s">
        <v>938</v>
      </c>
      <c r="I583" s="1" t="s">
        <v>21</v>
      </c>
      <c r="J583" s="1" t="s">
        <v>22</v>
      </c>
      <c r="K583" s="2">
        <v>21.272719680000002</v>
      </c>
      <c r="L583" s="2">
        <v>105.83019025999999</v>
      </c>
      <c r="M583" s="1" t="s">
        <v>937</v>
      </c>
      <c r="N583" s="1" t="s">
        <v>864</v>
      </c>
      <c r="O583" s="1" t="str">
        <f>INT(K583)&amp;"°"&amp;INT(MOD(K583,1)*60)&amp;"'"&amp;
ROUND(MOD(MOD(K583,1)*60,1)*60,1)&amp;"""N"</f>
        <v>21°16'21.8"N</v>
      </c>
      <c r="P583" s="1" t="str">
        <f>INT(L583)&amp;"°"&amp;INT(MOD(L583,1)*60)&amp;"'"&amp;
ROUND(MOD(MOD(L583,1)*60,1)*60,1)&amp;"""E"</f>
        <v>105°49'48.7"E</v>
      </c>
      <c r="Q583" s="1" t="str">
        <f>O583 &amp; " " &amp; P583</f>
        <v>21°16'21.8"N 105°49'48.7"E</v>
      </c>
    </row>
    <row r="584" spans="1:17" ht="15.75" customHeight="1" x14ac:dyDescent="0.2">
      <c r="A584" s="1">
        <v>26</v>
      </c>
      <c r="B584" s="1" t="s">
        <v>122</v>
      </c>
      <c r="C584" s="1" t="s">
        <v>15</v>
      </c>
      <c r="D584" s="1" t="s">
        <v>16</v>
      </c>
      <c r="E584" s="1" t="s">
        <v>97</v>
      </c>
      <c r="F584" s="1" t="s">
        <v>98</v>
      </c>
      <c r="G584" s="1" t="s">
        <v>123</v>
      </c>
      <c r="H584" s="1" t="s">
        <v>124</v>
      </c>
      <c r="I584" s="1" t="s">
        <v>21</v>
      </c>
      <c r="J584" s="1" t="s">
        <v>22</v>
      </c>
      <c r="K584" s="2">
        <v>21.27329344</v>
      </c>
      <c r="L584" s="2">
        <v>106.09035222</v>
      </c>
      <c r="M584" s="1" t="s">
        <v>123</v>
      </c>
      <c r="N584" s="1" t="s">
        <v>100</v>
      </c>
      <c r="O584" s="1" t="str">
        <f>INT(K584)&amp;"°"&amp;INT(MOD(K584,1)*60)&amp;"'"&amp;
ROUND(MOD(MOD(K584,1)*60,1)*60,1)&amp;"""N"</f>
        <v>21°16'23.9"N</v>
      </c>
      <c r="P584" s="1" t="str">
        <f>INT(L584)&amp;"°"&amp;INT(MOD(L584,1)*60)&amp;"'"&amp;
ROUND(MOD(MOD(L584,1)*60,1)*60,1)&amp;"""E"</f>
        <v>106°5'25.3"E</v>
      </c>
      <c r="Q584" s="1" t="str">
        <f>O584 &amp; " " &amp; P584</f>
        <v>21°16'23.9"N 106°5'25.3"E</v>
      </c>
    </row>
    <row r="585" spans="1:17" ht="15.75" customHeight="1" x14ac:dyDescent="0.2">
      <c r="A585" s="1">
        <v>19</v>
      </c>
      <c r="B585" s="1" t="s">
        <v>96</v>
      </c>
      <c r="C585" s="1" t="s">
        <v>15</v>
      </c>
      <c r="D585" s="1" t="s">
        <v>16</v>
      </c>
      <c r="E585" s="1" t="s">
        <v>97</v>
      </c>
      <c r="F585" s="1" t="s">
        <v>98</v>
      </c>
      <c r="G585" s="1" t="s">
        <v>98</v>
      </c>
      <c r="H585" s="1" t="s">
        <v>99</v>
      </c>
      <c r="I585" s="1" t="s">
        <v>27</v>
      </c>
      <c r="J585" s="1" t="s">
        <v>28</v>
      </c>
      <c r="K585" s="2">
        <v>21.274630139999999</v>
      </c>
      <c r="L585" s="2">
        <v>106.19662124</v>
      </c>
      <c r="M585" s="1" t="s">
        <v>98</v>
      </c>
      <c r="N585" s="1" t="s">
        <v>100</v>
      </c>
      <c r="O585" s="1" t="str">
        <f>INT(K585)&amp;"°"&amp;INT(MOD(K585,1)*60)&amp;"'"&amp;
ROUND(MOD(MOD(K585,1)*60,1)*60,1)&amp;"""N"</f>
        <v>21°16'28.7"N</v>
      </c>
      <c r="P585" s="1" t="str">
        <f>INT(L585)&amp;"°"&amp;INT(MOD(L585,1)*60)&amp;"'"&amp;
ROUND(MOD(MOD(L585,1)*60,1)*60,1)&amp;"""E"</f>
        <v>106°11'47.8"E</v>
      </c>
      <c r="Q585" s="1" t="str">
        <f>O585 &amp; " " &amp; P585</f>
        <v>21°16'28.7"N 106°11'47.8"E</v>
      </c>
    </row>
    <row r="586" spans="1:17" ht="15.75" customHeight="1" x14ac:dyDescent="0.2">
      <c r="A586" s="1">
        <v>22</v>
      </c>
      <c r="B586" s="1" t="s">
        <v>108</v>
      </c>
      <c r="C586" s="1" t="s">
        <v>15</v>
      </c>
      <c r="D586" s="1" t="s">
        <v>16</v>
      </c>
      <c r="E586" s="1" t="s">
        <v>97</v>
      </c>
      <c r="F586" s="1" t="s">
        <v>98</v>
      </c>
      <c r="G586" s="1" t="s">
        <v>109</v>
      </c>
      <c r="H586" s="1" t="s">
        <v>110</v>
      </c>
      <c r="I586" s="1" t="s">
        <v>21</v>
      </c>
      <c r="J586" s="1" t="s">
        <v>22</v>
      </c>
      <c r="K586" s="2">
        <v>21.282232180000001</v>
      </c>
      <c r="L586" s="2">
        <v>106.46396916</v>
      </c>
      <c r="M586" s="1" t="s">
        <v>111</v>
      </c>
      <c r="N586" s="1" t="s">
        <v>100</v>
      </c>
      <c r="O586" s="1" t="str">
        <f>INT(K586)&amp;"°"&amp;INT(MOD(K586,1)*60)&amp;"'"&amp;
ROUND(MOD(MOD(K586,1)*60,1)*60,1)&amp;"""N"</f>
        <v>21°16'56"N</v>
      </c>
      <c r="P586" s="1" t="str">
        <f>INT(L586)&amp;"°"&amp;INT(MOD(L586,1)*60)&amp;"'"&amp;
ROUND(MOD(MOD(L586,1)*60,1)*60,1)&amp;"""E"</f>
        <v>106°27'50.3"E</v>
      </c>
      <c r="Q586" s="1" t="str">
        <f>O586 &amp; " " &amp; P586</f>
        <v>21°16'56"N 106°27'50.3"E</v>
      </c>
    </row>
    <row r="587" spans="1:17" ht="15.75" customHeight="1" x14ac:dyDescent="0.2">
      <c r="A587" s="1">
        <v>493</v>
      </c>
      <c r="B587" s="1" t="s">
        <v>1789</v>
      </c>
      <c r="C587" s="1" t="s">
        <v>15</v>
      </c>
      <c r="D587" s="1" t="s">
        <v>16</v>
      </c>
      <c r="E587" s="1" t="s">
        <v>1770</v>
      </c>
      <c r="F587" s="1" t="s">
        <v>1225</v>
      </c>
      <c r="G587" s="1" t="s">
        <v>726</v>
      </c>
      <c r="H587" s="1" t="s">
        <v>727</v>
      </c>
      <c r="I587" s="1" t="s">
        <v>21</v>
      </c>
      <c r="J587" s="1" t="s">
        <v>22</v>
      </c>
      <c r="K587" s="2">
        <v>21.290334120000001</v>
      </c>
      <c r="L587" s="2">
        <v>105.23920321999999</v>
      </c>
      <c r="M587" s="1" t="s">
        <v>1790</v>
      </c>
      <c r="N587" s="1" t="s">
        <v>1225</v>
      </c>
      <c r="O587" s="1" t="str">
        <f>INT(K587)&amp;"°"&amp;INT(MOD(K587,1)*60)&amp;"'"&amp;
ROUND(MOD(MOD(K587,1)*60,1)*60,1)&amp;"""N"</f>
        <v>21°17'25.2"N</v>
      </c>
      <c r="P587" s="1" t="str">
        <f>INT(L587)&amp;"°"&amp;INT(MOD(L587,1)*60)&amp;"'"&amp;
ROUND(MOD(MOD(L587,1)*60,1)*60,1)&amp;"""E"</f>
        <v>105°14'21.1"E</v>
      </c>
      <c r="Q587" s="1" t="str">
        <f>O587 &amp; " " &amp; P587</f>
        <v>21°17'25.2"N 105°14'21.1"E</v>
      </c>
    </row>
    <row r="588" spans="1:17" ht="15.75" customHeight="1" x14ac:dyDescent="0.2">
      <c r="A588" s="1">
        <v>700</v>
      </c>
      <c r="B588" s="1" t="s">
        <v>2522</v>
      </c>
      <c r="C588" s="1" t="s">
        <v>15</v>
      </c>
      <c r="D588" s="1" t="s">
        <v>16</v>
      </c>
      <c r="E588" s="1" t="s">
        <v>2499</v>
      </c>
      <c r="F588" s="1" t="s">
        <v>2500</v>
      </c>
      <c r="G588" s="1" t="s">
        <v>2523</v>
      </c>
      <c r="H588" s="1" t="s">
        <v>2524</v>
      </c>
      <c r="I588" s="1" t="s">
        <v>27</v>
      </c>
      <c r="J588" s="1" t="s">
        <v>28</v>
      </c>
      <c r="K588" s="2">
        <v>21.305824640000001</v>
      </c>
      <c r="L588" s="2">
        <v>105.59631324</v>
      </c>
      <c r="M588" s="1" t="s">
        <v>2500</v>
      </c>
      <c r="N588" s="1" t="s">
        <v>1225</v>
      </c>
      <c r="O588" s="1" t="str">
        <f>INT(K588)&amp;"°"&amp;INT(MOD(K588,1)*60)&amp;"'"&amp;
ROUND(MOD(MOD(K588,1)*60,1)*60,1)&amp;"""N"</f>
        <v>21°18'21"N</v>
      </c>
      <c r="P588" s="1" t="str">
        <f>INT(L588)&amp;"°"&amp;INT(MOD(L588,1)*60)&amp;"'"&amp;
ROUND(MOD(MOD(L588,1)*60,1)*60,1)&amp;"""E"</f>
        <v>105°35'46.7"E</v>
      </c>
      <c r="Q588" s="1" t="str">
        <f>O588 &amp; " " &amp; P588</f>
        <v>21°18'21"N 105°35'46.7"E</v>
      </c>
    </row>
    <row r="589" spans="1:17" ht="15.75" customHeight="1" x14ac:dyDescent="0.2">
      <c r="A589" s="1">
        <v>24</v>
      </c>
      <c r="B589" s="1" t="s">
        <v>116</v>
      </c>
      <c r="C589" s="1" t="s">
        <v>15</v>
      </c>
      <c r="D589" s="1" t="s">
        <v>16</v>
      </c>
      <c r="E589" s="1" t="s">
        <v>97</v>
      </c>
      <c r="F589" s="1" t="s">
        <v>98</v>
      </c>
      <c r="G589" s="1" t="s">
        <v>117</v>
      </c>
      <c r="H589" s="1" t="s">
        <v>118</v>
      </c>
      <c r="I589" s="1" t="s">
        <v>21</v>
      </c>
      <c r="J589" s="1" t="s">
        <v>22</v>
      </c>
      <c r="K589" s="2">
        <v>21.309637009999999</v>
      </c>
      <c r="L589" s="2">
        <v>106.85396621</v>
      </c>
      <c r="M589" s="1" t="s">
        <v>117</v>
      </c>
      <c r="N589" s="1" t="s">
        <v>100</v>
      </c>
      <c r="O589" s="1" t="str">
        <f>INT(K589)&amp;"°"&amp;INT(MOD(K589,1)*60)&amp;"'"&amp;
ROUND(MOD(MOD(K589,1)*60,1)*60,1)&amp;"""N"</f>
        <v>21°18'34.7"N</v>
      </c>
      <c r="P589" s="1" t="str">
        <f>INT(L589)&amp;"°"&amp;INT(MOD(L589,1)*60)&amp;"'"&amp;
ROUND(MOD(MOD(L589,1)*60,1)*60,1)&amp;"""E"</f>
        <v>106°51'14.3"E</v>
      </c>
      <c r="Q589" s="1" t="str">
        <f>O589 &amp; " " &amp; P589</f>
        <v>21°18'34.7"N 106°51'14.3"E</v>
      </c>
    </row>
    <row r="590" spans="1:17" ht="15.75" customHeight="1" x14ac:dyDescent="0.2">
      <c r="A590" s="1">
        <v>490</v>
      </c>
      <c r="B590" s="1" t="s">
        <v>1779</v>
      </c>
      <c r="C590" s="1" t="s">
        <v>15</v>
      </c>
      <c r="D590" s="1" t="s">
        <v>16</v>
      </c>
      <c r="E590" s="1" t="s">
        <v>1770</v>
      </c>
      <c r="F590" s="1" t="s">
        <v>1225</v>
      </c>
      <c r="G590" s="1" t="s">
        <v>1780</v>
      </c>
      <c r="H590" s="1" t="s">
        <v>1781</v>
      </c>
      <c r="I590" s="1" t="s">
        <v>21</v>
      </c>
      <c r="J590" s="1" t="s">
        <v>22</v>
      </c>
      <c r="K590" s="2">
        <v>21.317403280000001</v>
      </c>
      <c r="L590" s="2">
        <v>105.30192097</v>
      </c>
      <c r="M590" s="1" t="s">
        <v>1782</v>
      </c>
      <c r="N590" s="1" t="s">
        <v>1225</v>
      </c>
      <c r="O590" s="1" t="str">
        <f>INT(K590)&amp;"°"&amp;INT(MOD(K590,1)*60)&amp;"'"&amp;
ROUND(MOD(MOD(K590,1)*60,1)*60,1)&amp;"""N"</f>
        <v>21°19'2.7"N</v>
      </c>
      <c r="P590" s="1" t="str">
        <f>INT(L590)&amp;"°"&amp;INT(MOD(L590,1)*60)&amp;"'"&amp;
ROUND(MOD(MOD(L590,1)*60,1)*60,1)&amp;"""E"</f>
        <v>105°18'6.9"E</v>
      </c>
      <c r="Q590" s="1" t="str">
        <f>O590 &amp; " " &amp; P590</f>
        <v>21°19'2.7"N 105°18'6.9"E</v>
      </c>
    </row>
    <row r="591" spans="1:17" ht="15.75" customHeight="1" x14ac:dyDescent="0.2">
      <c r="A591" s="1">
        <v>693</v>
      </c>
      <c r="B591" s="1" t="s">
        <v>2498</v>
      </c>
      <c r="C591" s="1" t="s">
        <v>15</v>
      </c>
      <c r="D591" s="1" t="s">
        <v>16</v>
      </c>
      <c r="E591" s="1" t="s">
        <v>2499</v>
      </c>
      <c r="F591" s="1" t="s">
        <v>2500</v>
      </c>
      <c r="G591" s="1" t="s">
        <v>2501</v>
      </c>
      <c r="H591" s="1" t="s">
        <v>2502</v>
      </c>
      <c r="I591" s="1" t="s">
        <v>21</v>
      </c>
      <c r="J591" s="1" t="s">
        <v>22</v>
      </c>
      <c r="K591" s="2">
        <v>21.319654570000001</v>
      </c>
      <c r="L591" s="2">
        <v>105.66598624</v>
      </c>
      <c r="M591" s="1" t="s">
        <v>2501</v>
      </c>
      <c r="N591" s="1" t="s">
        <v>1225</v>
      </c>
      <c r="O591" s="1" t="str">
        <f>INT(K591)&amp;"°"&amp;INT(MOD(K591,1)*60)&amp;"'"&amp;
ROUND(MOD(MOD(K591,1)*60,1)*60,1)&amp;"""N"</f>
        <v>21°19'10.8"N</v>
      </c>
      <c r="P591" s="1" t="str">
        <f>INT(L591)&amp;"°"&amp;INT(MOD(L591,1)*60)&amp;"'"&amp;
ROUND(MOD(MOD(L591,1)*60,1)*60,1)&amp;"""E"</f>
        <v>105°39'57.6"E</v>
      </c>
      <c r="Q591" s="1" t="str">
        <f>O591 &amp; " " &amp; P591</f>
        <v>21°19'10.8"N 105°39'57.6"E</v>
      </c>
    </row>
    <row r="592" spans="1:17" ht="15.75" customHeight="1" x14ac:dyDescent="0.2">
      <c r="A592" s="1">
        <v>695</v>
      </c>
      <c r="B592" s="1" t="s">
        <v>2506</v>
      </c>
      <c r="C592" s="1" t="s">
        <v>15</v>
      </c>
      <c r="D592" s="1" t="s">
        <v>16</v>
      </c>
      <c r="E592" s="1" t="s">
        <v>2499</v>
      </c>
      <c r="F592" s="1" t="s">
        <v>2500</v>
      </c>
      <c r="G592" s="1" t="s">
        <v>2507</v>
      </c>
      <c r="H592" s="1" t="s">
        <v>2508</v>
      </c>
      <c r="I592" s="1" t="s">
        <v>53</v>
      </c>
      <c r="J592" s="1" t="s">
        <v>54</v>
      </c>
      <c r="K592" s="2">
        <v>21.32226752</v>
      </c>
      <c r="L592" s="2">
        <v>105.72953438</v>
      </c>
      <c r="M592" s="1" t="s">
        <v>1538</v>
      </c>
      <c r="N592" s="1" t="s">
        <v>1225</v>
      </c>
      <c r="O592" s="1" t="str">
        <f>INT(K592)&amp;"°"&amp;INT(MOD(K592,1)*60)&amp;"'"&amp;
ROUND(MOD(MOD(K592,1)*60,1)*60,1)&amp;"""N"</f>
        <v>21°19'20.2"N</v>
      </c>
      <c r="P592" s="1" t="str">
        <f>INT(L592)&amp;"°"&amp;INT(MOD(L592,1)*60)&amp;"'"&amp;
ROUND(MOD(MOD(L592,1)*60,1)*60,1)&amp;"""E"</f>
        <v>105°43'46.3"E</v>
      </c>
      <c r="Q592" s="1" t="str">
        <f>O592 &amp; " " &amp; P592</f>
        <v>21°19'20.2"N 105°43'46.3"E</v>
      </c>
    </row>
    <row r="593" spans="1:17" ht="15.75" customHeight="1" x14ac:dyDescent="0.2">
      <c r="A593" s="1">
        <v>20</v>
      </c>
      <c r="B593" s="1" t="s">
        <v>101</v>
      </c>
      <c r="C593" s="1" t="s">
        <v>15</v>
      </c>
      <c r="D593" s="1" t="s">
        <v>16</v>
      </c>
      <c r="E593" s="1" t="s">
        <v>97</v>
      </c>
      <c r="F593" s="1" t="s">
        <v>98</v>
      </c>
      <c r="G593" s="1" t="s">
        <v>102</v>
      </c>
      <c r="H593" s="1" t="s">
        <v>103</v>
      </c>
      <c r="I593" s="1" t="s">
        <v>21</v>
      </c>
      <c r="J593" s="1" t="s">
        <v>22</v>
      </c>
      <c r="K593" s="2">
        <v>21.32455092</v>
      </c>
      <c r="L593" s="2">
        <v>105.96772722</v>
      </c>
      <c r="M593" s="1" t="s">
        <v>104</v>
      </c>
      <c r="N593" s="1" t="s">
        <v>100</v>
      </c>
      <c r="O593" s="1" t="str">
        <f>INT(K593)&amp;"°"&amp;INT(MOD(K593,1)*60)&amp;"'"&amp;
ROUND(MOD(MOD(K593,1)*60,1)*60,1)&amp;"""N"</f>
        <v>21°19'28.4"N</v>
      </c>
      <c r="P593" s="1" t="str">
        <f>INT(L593)&amp;"°"&amp;INT(MOD(L593,1)*60)&amp;"'"&amp;
ROUND(MOD(MOD(L593,1)*60,1)*60,1)&amp;"""E"</f>
        <v>105°58'3.8"E</v>
      </c>
      <c r="Q593" s="1" t="str">
        <f>O593 &amp; " " &amp; P593</f>
        <v>21°19'28.4"N 105°58'3.8"E</v>
      </c>
    </row>
    <row r="594" spans="1:17" ht="15.75" customHeight="1" x14ac:dyDescent="0.2">
      <c r="A594" s="1">
        <v>498</v>
      </c>
      <c r="B594" s="1" t="s">
        <v>1805</v>
      </c>
      <c r="C594" s="1" t="s">
        <v>15</v>
      </c>
      <c r="D594" s="1" t="s">
        <v>16</v>
      </c>
      <c r="E594" s="1" t="s">
        <v>1770</v>
      </c>
      <c r="F594" s="1" t="s">
        <v>1225</v>
      </c>
      <c r="G594" s="1" t="s">
        <v>1806</v>
      </c>
      <c r="H594" s="1" t="s">
        <v>1807</v>
      </c>
      <c r="I594" s="1" t="s">
        <v>27</v>
      </c>
      <c r="J594" s="1" t="s">
        <v>28</v>
      </c>
      <c r="K594" s="2">
        <v>21.332233309999999</v>
      </c>
      <c r="L594" s="2">
        <v>105.37449035</v>
      </c>
      <c r="M594" s="1" t="s">
        <v>1808</v>
      </c>
      <c r="N594" s="1" t="s">
        <v>1225</v>
      </c>
      <c r="O594" s="1" t="str">
        <f>INT(K594)&amp;"°"&amp;INT(MOD(K594,1)*60)&amp;"'"&amp;
ROUND(MOD(MOD(K594,1)*60,1)*60,1)&amp;"""N"</f>
        <v>21°19'56"N</v>
      </c>
      <c r="P594" s="1" t="str">
        <f>INT(L594)&amp;"°"&amp;INT(MOD(L594,1)*60)&amp;"'"&amp;
ROUND(MOD(MOD(L594,1)*60,1)*60,1)&amp;"""E"</f>
        <v>105°22'28.2"E</v>
      </c>
      <c r="Q594" s="1" t="str">
        <f>O594 &amp; " " &amp; P594</f>
        <v>21°19'56"N 105°22'28.2"E</v>
      </c>
    </row>
    <row r="595" spans="1:17" ht="15.75" customHeight="1" x14ac:dyDescent="0.2">
      <c r="A595" s="1">
        <v>590</v>
      </c>
      <c r="B595" s="1" t="s">
        <v>2141</v>
      </c>
      <c r="C595" s="1" t="s">
        <v>15</v>
      </c>
      <c r="D595" s="1" t="s">
        <v>16</v>
      </c>
      <c r="E595" s="1" t="s">
        <v>2120</v>
      </c>
      <c r="F595" s="1" t="s">
        <v>2121</v>
      </c>
      <c r="G595" s="1" t="s">
        <v>2121</v>
      </c>
      <c r="H595" s="1" t="s">
        <v>2142</v>
      </c>
      <c r="I595" s="1" t="s">
        <v>27</v>
      </c>
      <c r="J595" s="1" t="s">
        <v>28</v>
      </c>
      <c r="K595" s="2">
        <v>21.34199821</v>
      </c>
      <c r="L595" s="2">
        <v>103.90809591999999</v>
      </c>
      <c r="M595" s="1" t="s">
        <v>2143</v>
      </c>
      <c r="N595" s="1" t="s">
        <v>2121</v>
      </c>
      <c r="O595" s="1" t="str">
        <f>INT(K595)&amp;"°"&amp;INT(MOD(K595,1)*60)&amp;"'"&amp;
ROUND(MOD(MOD(K595,1)*60,1)*60,1)&amp;"""N"</f>
        <v>21°20'31.2"N</v>
      </c>
      <c r="P595" s="1" t="str">
        <f>INT(L595)&amp;"°"&amp;INT(MOD(L595,1)*60)&amp;"'"&amp;
ROUND(MOD(MOD(L595,1)*60,1)*60,1)&amp;"""E"</f>
        <v>103°54'29.1"E</v>
      </c>
      <c r="Q595" s="1" t="str">
        <f>O595 &amp; " " &amp; P595</f>
        <v>21°20'31.2"N 103°54'29.1"E</v>
      </c>
    </row>
    <row r="596" spans="1:17" ht="15.75" customHeight="1" x14ac:dyDescent="0.2">
      <c r="A596" s="1">
        <v>499</v>
      </c>
      <c r="B596" s="1" t="s">
        <v>1809</v>
      </c>
      <c r="C596" s="1" t="s">
        <v>15</v>
      </c>
      <c r="D596" s="1" t="s">
        <v>16</v>
      </c>
      <c r="E596" s="1" t="s">
        <v>1770</v>
      </c>
      <c r="F596" s="1" t="s">
        <v>1225</v>
      </c>
      <c r="G596" s="1" t="s">
        <v>1810</v>
      </c>
      <c r="H596" s="1" t="s">
        <v>1811</v>
      </c>
      <c r="I596" s="1" t="s">
        <v>21</v>
      </c>
      <c r="J596" s="1" t="s">
        <v>22</v>
      </c>
      <c r="K596" s="2">
        <v>21.361798480000001</v>
      </c>
      <c r="L596" s="2">
        <v>105.00721882000001</v>
      </c>
      <c r="M596" s="1" t="s">
        <v>1812</v>
      </c>
      <c r="N596" s="1" t="s">
        <v>1225</v>
      </c>
      <c r="O596" s="1" t="str">
        <f>INT(K596)&amp;"°"&amp;INT(MOD(K596,1)*60)&amp;"'"&amp;
ROUND(MOD(MOD(K596,1)*60,1)*60,1)&amp;"""N"</f>
        <v>21°21'42.5"N</v>
      </c>
      <c r="P596" s="1" t="str">
        <f>INT(L596)&amp;"°"&amp;INT(MOD(L596,1)*60)&amp;"'"&amp;
ROUND(MOD(MOD(L596,1)*60,1)*60,1)&amp;"""E"</f>
        <v>105°0'26"E</v>
      </c>
      <c r="Q596" s="1" t="str">
        <f>O596 &amp; " " &amp; P596</f>
        <v>21°21'42.5"N 105°0'26"E</v>
      </c>
    </row>
    <row r="597" spans="1:17" ht="15.75" customHeight="1" x14ac:dyDescent="0.2">
      <c r="A597" s="1">
        <v>698</v>
      </c>
      <c r="B597" s="1" t="s">
        <v>2517</v>
      </c>
      <c r="C597" s="1" t="s">
        <v>15</v>
      </c>
      <c r="D597" s="1" t="s">
        <v>16</v>
      </c>
      <c r="E597" s="1" t="s">
        <v>2499</v>
      </c>
      <c r="F597" s="1" t="s">
        <v>2500</v>
      </c>
      <c r="G597" s="1" t="s">
        <v>2518</v>
      </c>
      <c r="H597" s="1" t="s">
        <v>1434</v>
      </c>
      <c r="I597" s="1" t="s">
        <v>21</v>
      </c>
      <c r="J597" s="1" t="s">
        <v>22</v>
      </c>
      <c r="K597" s="2">
        <v>21.365340199999999</v>
      </c>
      <c r="L597" s="2">
        <v>105.55440829</v>
      </c>
      <c r="M597" s="1" t="s">
        <v>2518</v>
      </c>
      <c r="N597" s="1" t="s">
        <v>1225</v>
      </c>
      <c r="O597" s="1" t="str">
        <f>INT(K597)&amp;"°"&amp;INT(MOD(K597,1)*60)&amp;"'"&amp;
ROUND(MOD(MOD(K597,1)*60,1)*60,1)&amp;"""N"</f>
        <v>21°21'55.2"N</v>
      </c>
      <c r="P597" s="1" t="str">
        <f>INT(L597)&amp;"°"&amp;INT(MOD(L597,1)*60)&amp;"'"&amp;
ROUND(MOD(MOD(L597,1)*60,1)*60,1)&amp;"""E"</f>
        <v>105°33'15.9"E</v>
      </c>
      <c r="Q597" s="1" t="str">
        <f>O597 &amp; " " &amp; P597</f>
        <v>21°21'55.2"N 105°33'15.9"E</v>
      </c>
    </row>
    <row r="598" spans="1:17" ht="15.75" customHeight="1" x14ac:dyDescent="0.2">
      <c r="A598" s="1">
        <v>560</v>
      </c>
      <c r="B598" s="1" t="s">
        <v>2036</v>
      </c>
      <c r="C598" s="1" t="s">
        <v>15</v>
      </c>
      <c r="D598" s="1" t="s">
        <v>16</v>
      </c>
      <c r="E598" s="1" t="s">
        <v>1995</v>
      </c>
      <c r="F598" s="1" t="s">
        <v>1869</v>
      </c>
      <c r="G598" s="1" t="s">
        <v>2037</v>
      </c>
      <c r="H598" s="1" t="s">
        <v>2038</v>
      </c>
      <c r="I598" s="1" t="s">
        <v>21</v>
      </c>
      <c r="J598" s="1" t="s">
        <v>22</v>
      </c>
      <c r="K598" s="2">
        <v>21.371291159999998</v>
      </c>
      <c r="L598" s="2">
        <v>107.37229983</v>
      </c>
      <c r="M598" s="1" t="s">
        <v>2037</v>
      </c>
      <c r="N598" s="1" t="s">
        <v>1869</v>
      </c>
      <c r="O598" s="1" t="str">
        <f>INT(K598)&amp;"°"&amp;INT(MOD(K598,1)*60)&amp;"'"&amp;
ROUND(MOD(MOD(K598,1)*60,1)*60,1)&amp;"""N"</f>
        <v>21°22'16.6"N</v>
      </c>
      <c r="P598" s="1" t="str">
        <f>INT(L598)&amp;"°"&amp;INT(MOD(L598,1)*60)&amp;"'"&amp;
ROUND(MOD(MOD(L598,1)*60,1)*60,1)&amp;"""E"</f>
        <v>107°22'20.3"E</v>
      </c>
      <c r="Q598" s="1" t="str">
        <f>O598 &amp; " " &amp; P598</f>
        <v>21°22'16.6"N 107°22'20.3"E</v>
      </c>
    </row>
    <row r="599" spans="1:17" ht="15.75" customHeight="1" x14ac:dyDescent="0.2">
      <c r="A599" s="1">
        <v>21</v>
      </c>
      <c r="B599" s="1" t="s">
        <v>105</v>
      </c>
      <c r="C599" s="1" t="s">
        <v>15</v>
      </c>
      <c r="D599" s="1" t="s">
        <v>16</v>
      </c>
      <c r="E599" s="1" t="s">
        <v>97</v>
      </c>
      <c r="F599" s="1" t="s">
        <v>98</v>
      </c>
      <c r="G599" s="1" t="s">
        <v>106</v>
      </c>
      <c r="H599" s="1" t="s">
        <v>107</v>
      </c>
      <c r="I599" s="1" t="s">
        <v>21</v>
      </c>
      <c r="J599" s="1" t="s">
        <v>22</v>
      </c>
      <c r="K599" s="2">
        <v>21.375265630000001</v>
      </c>
      <c r="L599" s="2">
        <v>106.25352401000001</v>
      </c>
      <c r="M599" s="1" t="s">
        <v>106</v>
      </c>
      <c r="N599" s="1" t="s">
        <v>100</v>
      </c>
      <c r="O599" s="1" t="str">
        <f>INT(K599)&amp;"°"&amp;INT(MOD(K599,1)*60)&amp;"'"&amp;
ROUND(MOD(MOD(K599,1)*60,1)*60,1)&amp;"""N"</f>
        <v>21°22'31"N</v>
      </c>
      <c r="P599" s="1" t="str">
        <f>INT(L599)&amp;"°"&amp;INT(MOD(L599,1)*60)&amp;"'"&amp;
ROUND(MOD(MOD(L599,1)*60,1)*60,1)&amp;"""E"</f>
        <v>106°15'12.7"E</v>
      </c>
      <c r="Q599" s="1" t="str">
        <f>O599 &amp; " " &amp; P599</f>
        <v>21°22'31"N 106°15'12.7"E</v>
      </c>
    </row>
    <row r="600" spans="1:17" ht="15.75" customHeight="1" x14ac:dyDescent="0.2">
      <c r="A600" s="1">
        <v>553</v>
      </c>
      <c r="B600" s="1" t="s">
        <v>2009</v>
      </c>
      <c r="C600" s="1" t="s">
        <v>15</v>
      </c>
      <c r="D600" s="1" t="s">
        <v>16</v>
      </c>
      <c r="E600" s="1" t="s">
        <v>1995</v>
      </c>
      <c r="F600" s="1" t="s">
        <v>1869</v>
      </c>
      <c r="G600" s="1" t="s">
        <v>2010</v>
      </c>
      <c r="H600" s="1" t="s">
        <v>2011</v>
      </c>
      <c r="I600" s="1" t="s">
        <v>21</v>
      </c>
      <c r="J600" s="1" t="s">
        <v>22</v>
      </c>
      <c r="K600" s="2">
        <v>21.38587588</v>
      </c>
      <c r="L600" s="2">
        <v>107.56285295000001</v>
      </c>
      <c r="M600" s="1" t="s">
        <v>2012</v>
      </c>
      <c r="N600" s="1" t="s">
        <v>1869</v>
      </c>
      <c r="O600" s="1" t="str">
        <f>INT(K600)&amp;"°"&amp;INT(MOD(K600,1)*60)&amp;"'"&amp;
ROUND(MOD(MOD(K600,1)*60,1)*60,1)&amp;"""N"</f>
        <v>21°23'9.2"N</v>
      </c>
      <c r="P600" s="1" t="str">
        <f>INT(L600)&amp;"°"&amp;INT(MOD(L600,1)*60)&amp;"'"&amp;
ROUND(MOD(MOD(L600,1)*60,1)*60,1)&amp;"""E"</f>
        <v>107°33'46.3"E</v>
      </c>
      <c r="Q600" s="1" t="str">
        <f>O600 &amp; " " &amp; P600</f>
        <v>21°23'9.2"N 107°33'46.3"E</v>
      </c>
    </row>
    <row r="601" spans="1:17" ht="15.75" customHeight="1" x14ac:dyDescent="0.2">
      <c r="A601" s="1">
        <v>25</v>
      </c>
      <c r="B601" s="1" t="s">
        <v>119</v>
      </c>
      <c r="C601" s="1" t="s">
        <v>15</v>
      </c>
      <c r="D601" s="1" t="s">
        <v>16</v>
      </c>
      <c r="E601" s="1" t="s">
        <v>97</v>
      </c>
      <c r="F601" s="1" t="s">
        <v>98</v>
      </c>
      <c r="G601" s="1" t="s">
        <v>120</v>
      </c>
      <c r="H601" s="1" t="s">
        <v>121</v>
      </c>
      <c r="I601" s="1" t="s">
        <v>21</v>
      </c>
      <c r="J601" s="1" t="s">
        <v>22</v>
      </c>
      <c r="K601" s="2">
        <v>21.386403550000001</v>
      </c>
      <c r="L601" s="2">
        <v>106.10321544999999</v>
      </c>
      <c r="M601" s="1" t="s">
        <v>120</v>
      </c>
      <c r="N601" s="1" t="s">
        <v>100</v>
      </c>
      <c r="O601" s="1" t="str">
        <f>INT(K601)&amp;"°"&amp;INT(MOD(K601,1)*60)&amp;"'"&amp;
ROUND(MOD(MOD(K601,1)*60,1)*60,1)&amp;"""N"</f>
        <v>21°23'11.1"N</v>
      </c>
      <c r="P601" s="1" t="str">
        <f>INT(L601)&amp;"°"&amp;INT(MOD(L601,1)*60)&amp;"'"&amp;
ROUND(MOD(MOD(L601,1)*60,1)*60,1)&amp;"""E"</f>
        <v>106°6'11.6"E</v>
      </c>
      <c r="Q601" s="1" t="str">
        <f>O601 &amp; " " &amp; P601</f>
        <v>21°23'11.1"N 106°6'11.6"E</v>
      </c>
    </row>
    <row r="602" spans="1:17" ht="15.75" customHeight="1" x14ac:dyDescent="0.2">
      <c r="A602" s="1">
        <v>487</v>
      </c>
      <c r="B602" s="1" t="s">
        <v>1769</v>
      </c>
      <c r="C602" s="1" t="s">
        <v>15</v>
      </c>
      <c r="D602" s="1" t="s">
        <v>16</v>
      </c>
      <c r="E602" s="1" t="s">
        <v>1770</v>
      </c>
      <c r="F602" s="1" t="s">
        <v>1225</v>
      </c>
      <c r="G602" s="1" t="s">
        <v>1771</v>
      </c>
      <c r="H602" s="1" t="s">
        <v>1772</v>
      </c>
      <c r="I602" s="1" t="s">
        <v>21</v>
      </c>
      <c r="J602" s="1" t="s">
        <v>22</v>
      </c>
      <c r="K602" s="2">
        <v>21.40233783</v>
      </c>
      <c r="L602" s="2">
        <v>105.0939352</v>
      </c>
      <c r="M602" s="1" t="s">
        <v>1771</v>
      </c>
      <c r="N602" s="1" t="s">
        <v>1225</v>
      </c>
      <c r="O602" s="1" t="str">
        <f>INT(K602)&amp;"°"&amp;INT(MOD(K602,1)*60)&amp;"'"&amp;
ROUND(MOD(MOD(K602,1)*60,1)*60,1)&amp;"""N"</f>
        <v>21°24'8.4"N</v>
      </c>
      <c r="P602" s="1" t="str">
        <f>INT(L602)&amp;"°"&amp;INT(MOD(L602,1)*60)&amp;"'"&amp;
ROUND(MOD(MOD(L602,1)*60,1)*60,1)&amp;"""E"</f>
        <v>105°5'38.2"E</v>
      </c>
      <c r="Q602" s="1" t="str">
        <f>O602 &amp; " " &amp; P602</f>
        <v>21°24'8.4"N 105°5'38.2"E</v>
      </c>
    </row>
    <row r="603" spans="1:17" ht="15.75" customHeight="1" x14ac:dyDescent="0.2">
      <c r="A603" s="1">
        <v>165</v>
      </c>
      <c r="B603" s="1" t="s">
        <v>632</v>
      </c>
      <c r="C603" s="1" t="s">
        <v>15</v>
      </c>
      <c r="D603" s="1" t="s">
        <v>16</v>
      </c>
      <c r="E603" s="1" t="s">
        <v>624</v>
      </c>
      <c r="F603" s="1" t="s">
        <v>625</v>
      </c>
      <c r="G603" s="1" t="s">
        <v>633</v>
      </c>
      <c r="H603" s="1" t="s">
        <v>634</v>
      </c>
      <c r="I603" s="1" t="s">
        <v>27</v>
      </c>
      <c r="J603" s="1" t="s">
        <v>28</v>
      </c>
      <c r="K603" s="2">
        <v>21.405771219999998</v>
      </c>
      <c r="L603" s="2">
        <v>103.04499499000001</v>
      </c>
      <c r="M603" s="1" t="s">
        <v>633</v>
      </c>
      <c r="N603" s="1" t="s">
        <v>625</v>
      </c>
      <c r="O603" s="1" t="str">
        <f>INT(K603)&amp;"°"&amp;INT(MOD(K603,1)*60)&amp;"'"&amp;
ROUND(MOD(MOD(K603,1)*60,1)*60,1)&amp;"""N"</f>
        <v>21°24'20.8"N</v>
      </c>
      <c r="P603" s="1" t="str">
        <f>INT(L603)&amp;"°"&amp;INT(MOD(L603,1)*60)&amp;"'"&amp;
ROUND(MOD(MOD(L603,1)*60,1)*60,1)&amp;"""E"</f>
        <v>103°2'42"E</v>
      </c>
      <c r="Q603" s="1" t="str">
        <f>O603 &amp; " " &amp; P603</f>
        <v>21°24'20.8"N 103°2'42"E</v>
      </c>
    </row>
    <row r="604" spans="1:17" ht="15.75" customHeight="1" x14ac:dyDescent="0.2">
      <c r="A604" s="1">
        <v>492</v>
      </c>
      <c r="B604" s="1" t="s">
        <v>1787</v>
      </c>
      <c r="C604" s="1" t="s">
        <v>15</v>
      </c>
      <c r="D604" s="1" t="s">
        <v>16</v>
      </c>
      <c r="E604" s="1" t="s">
        <v>1770</v>
      </c>
      <c r="F604" s="1" t="s">
        <v>1225</v>
      </c>
      <c r="G604" s="1" t="s">
        <v>1225</v>
      </c>
      <c r="H604" s="1" t="s">
        <v>1788</v>
      </c>
      <c r="I604" s="1" t="s">
        <v>53</v>
      </c>
      <c r="J604" s="1" t="s">
        <v>54</v>
      </c>
      <c r="K604" s="2">
        <v>21.417715600000001</v>
      </c>
      <c r="L604" s="2">
        <v>105.23487148</v>
      </c>
      <c r="M604" s="1" t="s">
        <v>1225</v>
      </c>
      <c r="N604" s="1" t="s">
        <v>1225</v>
      </c>
      <c r="O604" s="1" t="str">
        <f>INT(K604)&amp;"°"&amp;INT(MOD(K604,1)*60)&amp;"'"&amp;
ROUND(MOD(MOD(K604,1)*60,1)*60,1)&amp;"""N"</f>
        <v>21°25'3.8"N</v>
      </c>
      <c r="P604" s="1" t="str">
        <f>INT(L604)&amp;"°"&amp;INT(MOD(L604,1)*60)&amp;"'"&amp;
ROUND(MOD(MOD(L604,1)*60,1)*60,1)&amp;"""E"</f>
        <v>105°14'5.5"E</v>
      </c>
      <c r="Q604" s="1" t="str">
        <f>O604 &amp; " " &amp; P604</f>
        <v>21°25'3.8"N 105°14'5.5"E</v>
      </c>
    </row>
    <row r="605" spans="1:17" ht="15.75" customHeight="1" x14ac:dyDescent="0.2">
      <c r="A605" s="1">
        <v>593</v>
      </c>
      <c r="B605" s="1" t="s">
        <v>2150</v>
      </c>
      <c r="C605" s="1" t="s">
        <v>15</v>
      </c>
      <c r="D605" s="1" t="s">
        <v>16</v>
      </c>
      <c r="E605" s="1" t="s">
        <v>2120</v>
      </c>
      <c r="F605" s="1" t="s">
        <v>2121</v>
      </c>
      <c r="G605" s="1" t="s">
        <v>2151</v>
      </c>
      <c r="H605" s="1" t="s">
        <v>2152</v>
      </c>
      <c r="I605" s="1" t="s">
        <v>21</v>
      </c>
      <c r="J605" s="1" t="s">
        <v>22</v>
      </c>
      <c r="K605" s="2">
        <v>21.419139529999999</v>
      </c>
      <c r="L605" s="2">
        <v>103.65445630000001</v>
      </c>
      <c r="M605" s="1" t="s">
        <v>2153</v>
      </c>
      <c r="N605" s="1" t="s">
        <v>2121</v>
      </c>
      <c r="O605" s="1" t="str">
        <f>INT(K605)&amp;"°"&amp;INT(MOD(K605,1)*60)&amp;"'"&amp;
ROUND(MOD(MOD(K605,1)*60,1)*60,1)&amp;"""N"</f>
        <v>21°25'8.9"N</v>
      </c>
      <c r="P605" s="1" t="str">
        <f>INT(L605)&amp;"°"&amp;INT(MOD(L605,1)*60)&amp;"'"&amp;
ROUND(MOD(MOD(L605,1)*60,1)*60,1)&amp;"""E"</f>
        <v>103°39'16"E</v>
      </c>
      <c r="Q605" s="1" t="str">
        <f>O605 &amp; " " &amp; P605</f>
        <v>21°25'8.9"N 103°39'16"E</v>
      </c>
    </row>
    <row r="606" spans="1:17" ht="15.75" customHeight="1" x14ac:dyDescent="0.2">
      <c r="A606" s="1">
        <v>694</v>
      </c>
      <c r="B606" s="1" t="s">
        <v>2503</v>
      </c>
      <c r="C606" s="1" t="s">
        <v>15</v>
      </c>
      <c r="D606" s="1" t="s">
        <v>16</v>
      </c>
      <c r="E606" s="1" t="s">
        <v>2499</v>
      </c>
      <c r="F606" s="1" t="s">
        <v>2500</v>
      </c>
      <c r="G606" s="1" t="s">
        <v>2504</v>
      </c>
      <c r="H606" s="1" t="s">
        <v>2505</v>
      </c>
      <c r="I606" s="1" t="s">
        <v>21</v>
      </c>
      <c r="J606" s="1" t="s">
        <v>22</v>
      </c>
      <c r="K606" s="2">
        <v>21.42199987</v>
      </c>
      <c r="L606" s="2">
        <v>105.47815085000001</v>
      </c>
      <c r="M606" s="1" t="s">
        <v>2504</v>
      </c>
      <c r="N606" s="1" t="s">
        <v>1225</v>
      </c>
      <c r="O606" s="1" t="str">
        <f>INT(K606)&amp;"°"&amp;INT(MOD(K606,1)*60)&amp;"'"&amp;
ROUND(MOD(MOD(K606,1)*60,1)*60,1)&amp;"""N"</f>
        <v>21°25'19.2"N</v>
      </c>
      <c r="P606" s="1" t="str">
        <f>INT(L606)&amp;"°"&amp;INT(MOD(L606,1)*60)&amp;"'"&amp;
ROUND(MOD(MOD(L606,1)*60,1)*60,1)&amp;"""E"</f>
        <v>105°28'41.3"E</v>
      </c>
      <c r="Q606" s="1" t="str">
        <f>O606 &amp; " " &amp; P606</f>
        <v>21°25'19.2"N 105°28'41.3"E</v>
      </c>
    </row>
    <row r="607" spans="1:17" ht="15.75" customHeight="1" x14ac:dyDescent="0.2">
      <c r="A607" s="1">
        <v>616</v>
      </c>
      <c r="B607" s="1" t="s">
        <v>2227</v>
      </c>
      <c r="C607" s="1" t="s">
        <v>15</v>
      </c>
      <c r="D607" s="1" t="s">
        <v>16</v>
      </c>
      <c r="E607" s="1" t="s">
        <v>2217</v>
      </c>
      <c r="F607" s="1" t="s">
        <v>139</v>
      </c>
      <c r="G607" s="1" t="s">
        <v>2228</v>
      </c>
      <c r="H607" s="1" t="s">
        <v>2229</v>
      </c>
      <c r="I607" s="1" t="s">
        <v>53</v>
      </c>
      <c r="J607" s="1" t="s">
        <v>54</v>
      </c>
      <c r="K607" s="2">
        <v>21.434464500000001</v>
      </c>
      <c r="L607" s="2">
        <v>105.81121408</v>
      </c>
      <c r="M607" s="1" t="s">
        <v>2230</v>
      </c>
      <c r="N607" s="1" t="s">
        <v>139</v>
      </c>
      <c r="O607" s="1" t="str">
        <f>INT(K607)&amp;"°"&amp;INT(MOD(K607,1)*60)&amp;"'"&amp;
ROUND(MOD(MOD(K607,1)*60,1)*60,1)&amp;"""N"</f>
        <v>21°26'4.1"N</v>
      </c>
      <c r="P607" s="1" t="str">
        <f>INT(L607)&amp;"°"&amp;INT(MOD(L607,1)*60)&amp;"'"&amp;
ROUND(MOD(MOD(L607,1)*60,1)*60,1)&amp;"""E"</f>
        <v>105°48'40.4"E</v>
      </c>
      <c r="Q607" s="1" t="str">
        <f>O607 &amp; " " &amp; P607</f>
        <v>21°26'4.1"N 105°48'40.4"E</v>
      </c>
    </row>
    <row r="608" spans="1:17" ht="15.75" customHeight="1" x14ac:dyDescent="0.2">
      <c r="A608" s="1">
        <v>23</v>
      </c>
      <c r="B608" s="1" t="s">
        <v>112</v>
      </c>
      <c r="C608" s="1" t="s">
        <v>15</v>
      </c>
      <c r="D608" s="1" t="s">
        <v>16</v>
      </c>
      <c r="E608" s="1" t="s">
        <v>97</v>
      </c>
      <c r="F608" s="1" t="s">
        <v>98</v>
      </c>
      <c r="G608" s="1" t="s">
        <v>113</v>
      </c>
      <c r="H608" s="1" t="s">
        <v>114</v>
      </c>
      <c r="I608" s="1" t="s">
        <v>21</v>
      </c>
      <c r="J608" s="1" t="s">
        <v>22</v>
      </c>
      <c r="K608" s="2">
        <v>21.43713653</v>
      </c>
      <c r="L608" s="2">
        <v>106.64073743</v>
      </c>
      <c r="M608" s="1" t="s">
        <v>115</v>
      </c>
      <c r="N608" s="1" t="s">
        <v>100</v>
      </c>
      <c r="O608" s="1" t="str">
        <f>INT(K608)&amp;"°"&amp;INT(MOD(K608,1)*60)&amp;"'"&amp;
ROUND(MOD(MOD(K608,1)*60,1)*60,1)&amp;"""N"</f>
        <v>21°26'13.7"N</v>
      </c>
      <c r="P608" s="1" t="str">
        <f>INT(L608)&amp;"°"&amp;INT(MOD(L608,1)*60)&amp;"'"&amp;
ROUND(MOD(MOD(L608,1)*60,1)*60,1)&amp;"""E"</f>
        <v>106°38'26.7"E</v>
      </c>
      <c r="Q608" s="1" t="str">
        <f>O608 &amp; " " &amp; P608</f>
        <v>21°26'13.7"N 106°38'26.7"E</v>
      </c>
    </row>
    <row r="609" spans="1:17" ht="15.75" customHeight="1" x14ac:dyDescent="0.2">
      <c r="A609" s="1">
        <v>696</v>
      </c>
      <c r="B609" s="1" t="s">
        <v>2509</v>
      </c>
      <c r="C609" s="1" t="s">
        <v>15</v>
      </c>
      <c r="D609" s="1" t="s">
        <v>16</v>
      </c>
      <c r="E609" s="1" t="s">
        <v>2499</v>
      </c>
      <c r="F609" s="1" t="s">
        <v>2500</v>
      </c>
      <c r="G609" s="1" t="s">
        <v>2510</v>
      </c>
      <c r="H609" s="1" t="s">
        <v>2511</v>
      </c>
      <c r="I609" s="1" t="s">
        <v>21</v>
      </c>
      <c r="J609" s="1" t="s">
        <v>22</v>
      </c>
      <c r="K609" s="2">
        <v>21.43934041</v>
      </c>
      <c r="L609" s="2">
        <v>105.39627609999999</v>
      </c>
      <c r="M609" s="1" t="s">
        <v>2512</v>
      </c>
      <c r="N609" s="1" t="s">
        <v>1225</v>
      </c>
      <c r="O609" s="1" t="str">
        <f>INT(K609)&amp;"°"&amp;INT(MOD(K609,1)*60)&amp;"'"&amp;
ROUND(MOD(MOD(K609,1)*60,1)*60,1)&amp;"""N"</f>
        <v>21°26'21.6"N</v>
      </c>
      <c r="P609" s="1" t="str">
        <f>INT(L609)&amp;"°"&amp;INT(MOD(L609,1)*60)&amp;"'"&amp;
ROUND(MOD(MOD(L609,1)*60,1)*60,1)&amp;"""E"</f>
        <v>105°23'46.6"E</v>
      </c>
      <c r="Q609" s="1" t="str">
        <f>O609 &amp; " " &amp; P609</f>
        <v>21°26'21.6"N 105°23'46.6"E</v>
      </c>
    </row>
    <row r="610" spans="1:17" ht="15.75" customHeight="1" x14ac:dyDescent="0.2">
      <c r="A610" s="1">
        <v>491</v>
      </c>
      <c r="B610" s="1" t="s">
        <v>1783</v>
      </c>
      <c r="C610" s="1" t="s">
        <v>15</v>
      </c>
      <c r="D610" s="1" t="s">
        <v>16</v>
      </c>
      <c r="E610" s="1" t="s">
        <v>1770</v>
      </c>
      <c r="F610" s="1" t="s">
        <v>1225</v>
      </c>
      <c r="G610" s="1" t="s">
        <v>1784</v>
      </c>
      <c r="H610" s="1" t="s">
        <v>1785</v>
      </c>
      <c r="I610" s="1" t="s">
        <v>21</v>
      </c>
      <c r="J610" s="1" t="s">
        <v>22</v>
      </c>
      <c r="K610" s="2">
        <v>21.456067139999998</v>
      </c>
      <c r="L610" s="2">
        <v>105.30281783</v>
      </c>
      <c r="M610" s="1" t="s">
        <v>1786</v>
      </c>
      <c r="N610" s="1" t="s">
        <v>1225</v>
      </c>
      <c r="O610" s="1" t="str">
        <f>INT(K610)&amp;"°"&amp;INT(MOD(K610,1)*60)&amp;"'"&amp;
ROUND(MOD(MOD(K610,1)*60,1)*60,1)&amp;"""N"</f>
        <v>21°27'21.8"N</v>
      </c>
      <c r="P610" s="1" t="str">
        <f>INT(L610)&amp;"°"&amp;INT(MOD(L610,1)*60)&amp;"'"&amp;
ROUND(MOD(MOD(L610,1)*60,1)*60,1)&amp;"""E"</f>
        <v>105°18'10.1"E</v>
      </c>
      <c r="Q610" s="1" t="str">
        <f>O610 &amp; " " &amp; P610</f>
        <v>21°27'21.8"N 105°18'10.1"E</v>
      </c>
    </row>
    <row r="611" spans="1:17" ht="15.75" customHeight="1" x14ac:dyDescent="0.2">
      <c r="A611" s="1">
        <v>697</v>
      </c>
      <c r="B611" s="1" t="s">
        <v>2513</v>
      </c>
      <c r="C611" s="1" t="s">
        <v>15</v>
      </c>
      <c r="D611" s="1" t="s">
        <v>16</v>
      </c>
      <c r="E611" s="1" t="s">
        <v>2499</v>
      </c>
      <c r="F611" s="1" t="s">
        <v>2500</v>
      </c>
      <c r="G611" s="1" t="s">
        <v>2514</v>
      </c>
      <c r="H611" s="1" t="s">
        <v>2515</v>
      </c>
      <c r="I611" s="1" t="s">
        <v>21</v>
      </c>
      <c r="J611" s="1" t="s">
        <v>22</v>
      </c>
      <c r="K611" s="2">
        <v>21.460918039999999</v>
      </c>
      <c r="L611" s="2">
        <v>105.59323553999999</v>
      </c>
      <c r="M611" s="1" t="s">
        <v>2516</v>
      </c>
      <c r="N611" s="1" t="s">
        <v>1225</v>
      </c>
      <c r="O611" s="1" t="str">
        <f>INT(K611)&amp;"°"&amp;INT(MOD(K611,1)*60)&amp;"'"&amp;
ROUND(MOD(MOD(K611,1)*60,1)*60,1)&amp;"""N"</f>
        <v>21°27'39.3"N</v>
      </c>
      <c r="P611" s="1" t="str">
        <f>INT(L611)&amp;"°"&amp;INT(MOD(L611,1)*60)&amp;"'"&amp;
ROUND(MOD(MOD(L611,1)*60,1)*60,1)&amp;"""E"</f>
        <v>105°35'35.6"E</v>
      </c>
      <c r="Q611" s="1" t="str">
        <f>O611 &amp; " " &amp; P611</f>
        <v>21°27'39.3"N 105°35'35.6"E</v>
      </c>
    </row>
    <row r="612" spans="1:17" ht="15.75" customHeight="1" x14ac:dyDescent="0.2">
      <c r="A612" s="1">
        <v>495</v>
      </c>
      <c r="B612" s="1" t="s">
        <v>1795</v>
      </c>
      <c r="C612" s="1" t="s">
        <v>15</v>
      </c>
      <c r="D612" s="1" t="s">
        <v>16</v>
      </c>
      <c r="E612" s="1" t="s">
        <v>1770</v>
      </c>
      <c r="F612" s="1" t="s">
        <v>1225</v>
      </c>
      <c r="G612" s="1" t="s">
        <v>1796</v>
      </c>
      <c r="H612" s="1" t="s">
        <v>1796</v>
      </c>
      <c r="I612" s="1" t="s">
        <v>21</v>
      </c>
      <c r="J612" s="1" t="s">
        <v>22</v>
      </c>
      <c r="K612" s="2">
        <v>21.46897177</v>
      </c>
      <c r="L612" s="2">
        <v>105.1594407</v>
      </c>
      <c r="M612" s="1" t="s">
        <v>1797</v>
      </c>
      <c r="N612" s="1" t="s">
        <v>1225</v>
      </c>
      <c r="O612" s="1" t="str">
        <f>INT(K612)&amp;"°"&amp;INT(MOD(K612,1)*60)&amp;"'"&amp;
ROUND(MOD(MOD(K612,1)*60,1)*60,1)&amp;"""N"</f>
        <v>21°28'8.3"N</v>
      </c>
      <c r="P612" s="1" t="str">
        <f>INT(L612)&amp;"°"&amp;INT(MOD(L612,1)*60)&amp;"'"&amp;
ROUND(MOD(MOD(L612,1)*60,1)*60,1)&amp;"""E"</f>
        <v>105°9'34"E</v>
      </c>
      <c r="Q612" s="1" t="str">
        <f>O612 &amp; " " &amp; P612</f>
        <v>21°28'8.3"N 105°9'34"E</v>
      </c>
    </row>
    <row r="613" spans="1:17" ht="15.75" customHeight="1" x14ac:dyDescent="0.2">
      <c r="A613" s="1">
        <v>617</v>
      </c>
      <c r="B613" s="1" t="s">
        <v>2231</v>
      </c>
      <c r="C613" s="1" t="s">
        <v>15</v>
      </c>
      <c r="D613" s="1" t="s">
        <v>16</v>
      </c>
      <c r="E613" s="1" t="s">
        <v>2217</v>
      </c>
      <c r="F613" s="1" t="s">
        <v>139</v>
      </c>
      <c r="G613" s="1" t="s">
        <v>2232</v>
      </c>
      <c r="H613" s="1" t="s">
        <v>2233</v>
      </c>
      <c r="I613" s="1" t="s">
        <v>21</v>
      </c>
      <c r="J613" s="1" t="s">
        <v>22</v>
      </c>
      <c r="K613" s="2">
        <v>21.487644299999999</v>
      </c>
      <c r="L613" s="2">
        <v>105.96948613000001</v>
      </c>
      <c r="M613" s="1" t="s">
        <v>85</v>
      </c>
      <c r="N613" s="1" t="s">
        <v>139</v>
      </c>
      <c r="O613" s="1" t="str">
        <f>INT(K613)&amp;"°"&amp;INT(MOD(K613,1)*60)&amp;"'"&amp;
ROUND(MOD(MOD(K613,1)*60,1)*60,1)&amp;"""N"</f>
        <v>21°29'15.5"N</v>
      </c>
      <c r="P613" s="1" t="str">
        <f>INT(L613)&amp;"°"&amp;INT(MOD(L613,1)*60)&amp;"'"&amp;
ROUND(MOD(MOD(L613,1)*60,1)*60,1)&amp;"""E"</f>
        <v>105°58'10.2"E</v>
      </c>
      <c r="Q613" s="1" t="str">
        <f>O613 &amp; " " &amp; P613</f>
        <v>21°29'15.5"N 105°58'10.2"E</v>
      </c>
    </row>
    <row r="614" spans="1:17" ht="15.75" customHeight="1" x14ac:dyDescent="0.2">
      <c r="A614" s="1">
        <v>556</v>
      </c>
      <c r="B614" s="1" t="s">
        <v>2021</v>
      </c>
      <c r="C614" s="1" t="s">
        <v>15</v>
      </c>
      <c r="D614" s="1" t="s">
        <v>16</v>
      </c>
      <c r="E614" s="1" t="s">
        <v>1995</v>
      </c>
      <c r="F614" s="1" t="s">
        <v>1869</v>
      </c>
      <c r="G614" s="1" t="s">
        <v>2022</v>
      </c>
      <c r="H614" s="1" t="s">
        <v>2023</v>
      </c>
      <c r="I614" s="1" t="s">
        <v>21</v>
      </c>
      <c r="J614" s="1" t="s">
        <v>22</v>
      </c>
      <c r="K614" s="2">
        <v>21.48955552</v>
      </c>
      <c r="L614" s="2">
        <v>107.68056674</v>
      </c>
      <c r="M614" s="1" t="s">
        <v>2024</v>
      </c>
      <c r="N614" s="1" t="s">
        <v>1869</v>
      </c>
      <c r="O614" s="1" t="str">
        <f>INT(K614)&amp;"°"&amp;INT(MOD(K614,1)*60)&amp;"'"&amp;
ROUND(MOD(MOD(K614,1)*60,1)*60,1)&amp;"""N"</f>
        <v>21°29'22.4"N</v>
      </c>
      <c r="P614" s="1" t="str">
        <f>INT(L614)&amp;"°"&amp;INT(MOD(L614,1)*60)&amp;"'"&amp;
ROUND(MOD(MOD(L614,1)*60,1)*60,1)&amp;"""E"</f>
        <v>107°40'50"E</v>
      </c>
      <c r="Q614" s="1" t="str">
        <f>O614 &amp; " " &amp; P614</f>
        <v>21°29'22.4"N 107°40'50"E</v>
      </c>
    </row>
    <row r="615" spans="1:17" ht="15.75" customHeight="1" x14ac:dyDescent="0.2">
      <c r="A615" s="1">
        <v>619</v>
      </c>
      <c r="B615" s="1" t="s">
        <v>2236</v>
      </c>
      <c r="C615" s="1" t="s">
        <v>15</v>
      </c>
      <c r="D615" s="1" t="s">
        <v>16</v>
      </c>
      <c r="E615" s="1" t="s">
        <v>2217</v>
      </c>
      <c r="F615" s="1" t="s">
        <v>139</v>
      </c>
      <c r="G615" s="1" t="s">
        <v>2237</v>
      </c>
      <c r="H615" s="1" t="s">
        <v>2238</v>
      </c>
      <c r="I615" s="1" t="s">
        <v>27</v>
      </c>
      <c r="J615" s="1" t="s">
        <v>28</v>
      </c>
      <c r="K615" s="2">
        <v>21.493062160000001</v>
      </c>
      <c r="L615" s="2">
        <v>105.83231032</v>
      </c>
      <c r="M615" s="1" t="s">
        <v>2239</v>
      </c>
      <c r="N615" s="1" t="s">
        <v>139</v>
      </c>
      <c r="O615" s="1" t="str">
        <f>INT(K615)&amp;"°"&amp;INT(MOD(K615,1)*60)&amp;"'"&amp;
ROUND(MOD(MOD(K615,1)*60,1)*60,1)&amp;"""N"</f>
        <v>21°29'35"N</v>
      </c>
      <c r="P615" s="1" t="str">
        <f>INT(L615)&amp;"°"&amp;INT(MOD(L615,1)*60)&amp;"'"&amp;
ROUND(MOD(MOD(L615,1)*60,1)*60,1)&amp;"""E"</f>
        <v>105°49'56.3"E</v>
      </c>
      <c r="Q615" s="1" t="str">
        <f>O615 &amp; " " &amp; P615</f>
        <v>21°29'35"N 105°49'56.3"E</v>
      </c>
    </row>
    <row r="616" spans="1:17" ht="15.75" customHeight="1" x14ac:dyDescent="0.2">
      <c r="A616" s="1">
        <v>705</v>
      </c>
      <c r="B616" s="1" t="s">
        <v>2542</v>
      </c>
      <c r="C616" s="1" t="s">
        <v>15</v>
      </c>
      <c r="D616" s="1" t="s">
        <v>16</v>
      </c>
      <c r="E616" s="1" t="s">
        <v>2530</v>
      </c>
      <c r="F616" s="1" t="s">
        <v>2531</v>
      </c>
      <c r="G616" s="1" t="s">
        <v>2543</v>
      </c>
      <c r="H616" s="1" t="s">
        <v>2544</v>
      </c>
      <c r="I616" s="1" t="s">
        <v>21</v>
      </c>
      <c r="J616" s="1" t="s">
        <v>22</v>
      </c>
      <c r="K616" s="2">
        <v>21.499414290000001</v>
      </c>
      <c r="L616" s="2">
        <v>104.43909302</v>
      </c>
      <c r="M616" s="1" t="s">
        <v>2543</v>
      </c>
      <c r="N616" s="1" t="s">
        <v>1529</v>
      </c>
      <c r="O616" s="1" t="str">
        <f>INT(K616)&amp;"°"&amp;INT(MOD(K616,1)*60)&amp;"'"&amp;
ROUND(MOD(MOD(K616,1)*60,1)*60,1)&amp;"""N"</f>
        <v>21°29'57.9"N</v>
      </c>
      <c r="P616" s="1" t="str">
        <f>INT(L616)&amp;"°"&amp;INT(MOD(L616,1)*60)&amp;"'"&amp;
ROUND(MOD(MOD(L616,1)*60,1)*60,1)&amp;"""E"</f>
        <v>104°26'20.7"E</v>
      </c>
      <c r="Q616" s="1" t="str">
        <f>O616 &amp; " " &amp; P616</f>
        <v>21°29'57.9"N 104°26'20.7"E</v>
      </c>
    </row>
    <row r="617" spans="1:17" ht="15.75" customHeight="1" x14ac:dyDescent="0.2">
      <c r="A617" s="1">
        <v>166</v>
      </c>
      <c r="B617" s="1" t="s">
        <v>635</v>
      </c>
      <c r="C617" s="1" t="s">
        <v>15</v>
      </c>
      <c r="D617" s="1" t="s">
        <v>16</v>
      </c>
      <c r="E617" s="1" t="s">
        <v>624</v>
      </c>
      <c r="F617" s="1" t="s">
        <v>625</v>
      </c>
      <c r="G617" s="1" t="s">
        <v>636</v>
      </c>
      <c r="H617" s="1" t="s">
        <v>637</v>
      </c>
      <c r="I617" s="1" t="s">
        <v>21</v>
      </c>
      <c r="J617" s="1" t="s">
        <v>22</v>
      </c>
      <c r="K617" s="2">
        <v>21.51780411</v>
      </c>
      <c r="L617" s="2">
        <v>103.2539237</v>
      </c>
      <c r="M617" s="1" t="s">
        <v>636</v>
      </c>
      <c r="N617" s="1" t="s">
        <v>625</v>
      </c>
      <c r="O617" s="1" t="str">
        <f>INT(K617)&amp;"°"&amp;INT(MOD(K617,1)*60)&amp;"'"&amp;
ROUND(MOD(MOD(K617,1)*60,1)*60,1)&amp;"""N"</f>
        <v>21°31'4.1"N</v>
      </c>
      <c r="P617" s="1" t="str">
        <f>INT(L617)&amp;"°"&amp;INT(MOD(L617,1)*60)&amp;"'"&amp;
ROUND(MOD(MOD(L617,1)*60,1)*60,1)&amp;"""E"</f>
        <v>103°15'14.1"E</v>
      </c>
      <c r="Q617" s="1" t="str">
        <f>O617 &amp; " " &amp; P617</f>
        <v>21°31'4.1"N 103°15'14.1"E</v>
      </c>
    </row>
    <row r="618" spans="1:17" ht="15.75" customHeight="1" x14ac:dyDescent="0.2">
      <c r="A618" s="1">
        <v>28</v>
      </c>
      <c r="B618" s="1" t="s">
        <v>129</v>
      </c>
      <c r="C618" s="1" t="s">
        <v>15</v>
      </c>
      <c r="D618" s="1" t="s">
        <v>16</v>
      </c>
      <c r="E618" s="1" t="s">
        <v>97</v>
      </c>
      <c r="F618" s="1" t="s">
        <v>98</v>
      </c>
      <c r="G618" s="1" t="s">
        <v>130</v>
      </c>
      <c r="H618" s="1" t="s">
        <v>131</v>
      </c>
      <c r="I618" s="1" t="s">
        <v>21</v>
      </c>
      <c r="J618" s="1" t="s">
        <v>22</v>
      </c>
      <c r="K618" s="2">
        <v>21.519392509999999</v>
      </c>
      <c r="L618" s="2">
        <v>106.13424406</v>
      </c>
      <c r="M618" s="1" t="s">
        <v>132</v>
      </c>
      <c r="N618" s="1" t="s">
        <v>100</v>
      </c>
      <c r="O618" s="1" t="str">
        <f>INT(K618)&amp;"°"&amp;INT(MOD(K618,1)*60)&amp;"'"&amp;
ROUND(MOD(MOD(K618,1)*60,1)*60,1)&amp;"""N"</f>
        <v>21°31'9.8"N</v>
      </c>
      <c r="P618" s="1" t="str">
        <f>INT(L618)&amp;"°"&amp;INT(MOD(L618,1)*60)&amp;"'"&amp;
ROUND(MOD(MOD(L618,1)*60,1)*60,1)&amp;"""E"</f>
        <v>106°8'3.3"E</v>
      </c>
      <c r="Q618" s="1" t="str">
        <f>O618 &amp; " " &amp; P618</f>
        <v>21°31'9.8"N 106°8'3.3"E</v>
      </c>
    </row>
    <row r="619" spans="1:17" ht="15.75" customHeight="1" x14ac:dyDescent="0.2">
      <c r="A619" s="1">
        <v>558</v>
      </c>
      <c r="B619" s="1" t="s">
        <v>2028</v>
      </c>
      <c r="C619" s="1" t="s">
        <v>15</v>
      </c>
      <c r="D619" s="1" t="s">
        <v>16</v>
      </c>
      <c r="E619" s="1" t="s">
        <v>1995</v>
      </c>
      <c r="F619" s="1" t="s">
        <v>1869</v>
      </c>
      <c r="G619" s="1" t="s">
        <v>2029</v>
      </c>
      <c r="H619" s="1" t="s">
        <v>2030</v>
      </c>
      <c r="I619" s="1" t="s">
        <v>27</v>
      </c>
      <c r="J619" s="1" t="s">
        <v>28</v>
      </c>
      <c r="K619" s="2">
        <v>21.520772319999999</v>
      </c>
      <c r="L619" s="2">
        <v>107.88018808</v>
      </c>
      <c r="M619" s="1" t="s">
        <v>2031</v>
      </c>
      <c r="N619" s="1" t="s">
        <v>1869</v>
      </c>
      <c r="O619" s="1" t="str">
        <f>INT(K619)&amp;"°"&amp;INT(MOD(K619,1)*60)&amp;"'"&amp;
ROUND(MOD(MOD(K619,1)*60,1)*60,1)&amp;"""N"</f>
        <v>21°31'14.8"N</v>
      </c>
      <c r="P619" s="1" t="str">
        <f>INT(L619)&amp;"°"&amp;INT(MOD(L619,1)*60)&amp;"'"&amp;
ROUND(MOD(MOD(L619,1)*60,1)*60,1)&amp;"""E"</f>
        <v>107°52'48.7"E</v>
      </c>
      <c r="Q619" s="1" t="str">
        <f>O619 &amp; " " &amp; P619</f>
        <v>21°31'14.8"N 107°52'48.7"E</v>
      </c>
    </row>
    <row r="620" spans="1:17" ht="15.75" customHeight="1" x14ac:dyDescent="0.2">
      <c r="A620" s="1">
        <v>410</v>
      </c>
      <c r="B620" s="1" t="s">
        <v>1502</v>
      </c>
      <c r="C620" s="1" t="s">
        <v>15</v>
      </c>
      <c r="D620" s="1" t="s">
        <v>16</v>
      </c>
      <c r="E620" s="1" t="s">
        <v>1485</v>
      </c>
      <c r="F620" s="1" t="s">
        <v>1486</v>
      </c>
      <c r="G620" s="1" t="s">
        <v>1503</v>
      </c>
      <c r="H620" s="1" t="s">
        <v>1504</v>
      </c>
      <c r="I620" s="1" t="s">
        <v>21</v>
      </c>
      <c r="J620" s="1" t="s">
        <v>22</v>
      </c>
      <c r="K620" s="2">
        <v>21.536448329999999</v>
      </c>
      <c r="L620" s="2">
        <v>107.13437048</v>
      </c>
      <c r="M620" s="1" t="s">
        <v>1503</v>
      </c>
      <c r="N620" s="1" t="s">
        <v>1486</v>
      </c>
      <c r="O620" s="1" t="str">
        <f>INT(K620)&amp;"°"&amp;INT(MOD(K620,1)*60)&amp;"'"&amp;
ROUND(MOD(MOD(K620,1)*60,1)*60,1)&amp;"""N"</f>
        <v>21°32'11.2"N</v>
      </c>
      <c r="P620" s="1" t="str">
        <f>INT(L620)&amp;"°"&amp;INT(MOD(L620,1)*60)&amp;"'"&amp;
ROUND(MOD(MOD(L620,1)*60,1)*60,1)&amp;"""E"</f>
        <v>107°8'3.7"E</v>
      </c>
      <c r="Q620" s="1" t="str">
        <f>O620 &amp; " " &amp; P620</f>
        <v>21°32'11.2"N 107°8'3.7"E</v>
      </c>
    </row>
    <row r="621" spans="1:17" ht="15.75" customHeight="1" x14ac:dyDescent="0.2">
      <c r="A621" s="1">
        <v>587</v>
      </c>
      <c r="B621" s="1" t="s">
        <v>2131</v>
      </c>
      <c r="C621" s="1" t="s">
        <v>15</v>
      </c>
      <c r="D621" s="1" t="s">
        <v>16</v>
      </c>
      <c r="E621" s="1" t="s">
        <v>2120</v>
      </c>
      <c r="F621" s="1" t="s">
        <v>2121</v>
      </c>
      <c r="G621" s="1" t="s">
        <v>2132</v>
      </c>
      <c r="H621" s="1" t="s">
        <v>2133</v>
      </c>
      <c r="I621" s="1" t="s">
        <v>21</v>
      </c>
      <c r="J621" s="1" t="s">
        <v>22</v>
      </c>
      <c r="K621" s="2">
        <v>21.539155829999999</v>
      </c>
      <c r="L621" s="2">
        <v>104.0702395</v>
      </c>
      <c r="M621" s="1" t="s">
        <v>2132</v>
      </c>
      <c r="N621" s="1" t="s">
        <v>2121</v>
      </c>
      <c r="O621" s="1" t="str">
        <f>INT(K621)&amp;"°"&amp;INT(MOD(K621,1)*60)&amp;"'"&amp;
ROUND(MOD(MOD(K621,1)*60,1)*60,1)&amp;"""N"</f>
        <v>21°32'21"N</v>
      </c>
      <c r="P621" s="1" t="str">
        <f>INT(L621)&amp;"°"&amp;INT(MOD(L621,1)*60)&amp;"'"&amp;
ROUND(MOD(MOD(L621,1)*60,1)*60,1)&amp;"""E"</f>
        <v>104°4'12.9"E</v>
      </c>
      <c r="Q621" s="1" t="str">
        <f>O621 &amp; " " &amp; P621</f>
        <v>21°32'21"N 104°4'12.9"E</v>
      </c>
    </row>
    <row r="622" spans="1:17" ht="15.75" customHeight="1" x14ac:dyDescent="0.2">
      <c r="A622" s="1">
        <v>550</v>
      </c>
      <c r="B622" s="1" t="s">
        <v>1998</v>
      </c>
      <c r="C622" s="1" t="s">
        <v>15</v>
      </c>
      <c r="D622" s="1" t="s">
        <v>16</v>
      </c>
      <c r="E622" s="1" t="s">
        <v>1995</v>
      </c>
      <c r="F622" s="1" t="s">
        <v>1869</v>
      </c>
      <c r="G622" s="1" t="s">
        <v>1999</v>
      </c>
      <c r="H622" s="1" t="s">
        <v>2000</v>
      </c>
      <c r="I622" s="1" t="s">
        <v>21</v>
      </c>
      <c r="J622" s="1" t="s">
        <v>22</v>
      </c>
      <c r="K622" s="2">
        <v>21.5470811</v>
      </c>
      <c r="L622" s="2">
        <v>107.44076908</v>
      </c>
      <c r="M622" s="1" t="s">
        <v>2001</v>
      </c>
      <c r="N622" s="1" t="s">
        <v>1869</v>
      </c>
      <c r="O622" s="1" t="str">
        <f>INT(K622)&amp;"°"&amp;INT(MOD(K622,1)*60)&amp;"'"&amp;
ROUND(MOD(MOD(K622,1)*60,1)*60,1)&amp;"""N"</f>
        <v>21°32'49.5"N</v>
      </c>
      <c r="P622" s="1" t="str">
        <f>INT(L622)&amp;"°"&amp;INT(MOD(L622,1)*60)&amp;"'"&amp;
ROUND(MOD(MOD(L622,1)*60,1)*60,1)&amp;"""E"</f>
        <v>107°26'26.8"E</v>
      </c>
      <c r="Q622" s="1" t="str">
        <f>O622 &amp; " " &amp; P622</f>
        <v>21°32'49.5"N 107°26'26.8"E</v>
      </c>
    </row>
    <row r="623" spans="1:17" ht="15.75" customHeight="1" x14ac:dyDescent="0.2">
      <c r="A623" s="1">
        <v>411</v>
      </c>
      <c r="B623" s="1" t="s">
        <v>1505</v>
      </c>
      <c r="C623" s="1" t="s">
        <v>15</v>
      </c>
      <c r="D623" s="1" t="s">
        <v>16</v>
      </c>
      <c r="E623" s="1" t="s">
        <v>1485</v>
      </c>
      <c r="F623" s="1" t="s">
        <v>1486</v>
      </c>
      <c r="G623" s="1" t="s">
        <v>1506</v>
      </c>
      <c r="H623" s="1" t="s">
        <v>1507</v>
      </c>
      <c r="I623" s="1" t="s">
        <v>21</v>
      </c>
      <c r="J623" s="1" t="s">
        <v>22</v>
      </c>
      <c r="K623" s="2">
        <v>21.560942969999999</v>
      </c>
      <c r="L623" s="2">
        <v>106.34074192</v>
      </c>
      <c r="M623" s="1" t="s">
        <v>1508</v>
      </c>
      <c r="N623" s="1" t="s">
        <v>1486</v>
      </c>
      <c r="O623" s="1" t="str">
        <f>INT(K623)&amp;"°"&amp;INT(MOD(K623,1)*60)&amp;"'"&amp;
ROUND(MOD(MOD(K623,1)*60,1)*60,1)&amp;"""N"</f>
        <v>21°33'39.4"N</v>
      </c>
      <c r="P623" s="1" t="str">
        <f>INT(L623)&amp;"°"&amp;INT(MOD(L623,1)*60)&amp;"'"&amp;
ROUND(MOD(MOD(L623,1)*60,1)*60,1)&amp;"""E"</f>
        <v>106°20'26.7"E</v>
      </c>
      <c r="Q623" s="1" t="str">
        <f>O623 &amp; " " &amp; P623</f>
        <v>21°33'39.4"N 106°20'26.7"E</v>
      </c>
    </row>
    <row r="624" spans="1:17" ht="15.75" customHeight="1" x14ac:dyDescent="0.2">
      <c r="A624" s="1">
        <v>707</v>
      </c>
      <c r="B624" s="1" t="s">
        <v>2549</v>
      </c>
      <c r="C624" s="1" t="s">
        <v>15</v>
      </c>
      <c r="D624" s="1" t="s">
        <v>16</v>
      </c>
      <c r="E624" s="1" t="s">
        <v>2530</v>
      </c>
      <c r="F624" s="1" t="s">
        <v>2531</v>
      </c>
      <c r="G624" s="1" t="s">
        <v>2550</v>
      </c>
      <c r="H624" s="1" t="s">
        <v>2551</v>
      </c>
      <c r="I624" s="1" t="s">
        <v>21</v>
      </c>
      <c r="J624" s="1" t="s">
        <v>22</v>
      </c>
      <c r="K624" s="2">
        <v>21.56574243</v>
      </c>
      <c r="L624" s="2">
        <v>104.62130431999999</v>
      </c>
      <c r="M624" s="1" t="s">
        <v>2550</v>
      </c>
      <c r="N624" s="1" t="s">
        <v>1529</v>
      </c>
      <c r="O624" s="1" t="str">
        <f>INT(K624)&amp;"°"&amp;INT(MOD(K624,1)*60)&amp;"'"&amp;
ROUND(MOD(MOD(K624,1)*60,1)*60,1)&amp;"""N"</f>
        <v>21°33'56.7"N</v>
      </c>
      <c r="P624" s="1" t="str">
        <f>INT(L624)&amp;"°"&amp;INT(MOD(L624,1)*60)&amp;"'"&amp;
ROUND(MOD(MOD(L624,1)*60,1)*60,1)&amp;"""E"</f>
        <v>104°37'16.7"E</v>
      </c>
      <c r="Q624" s="1" t="str">
        <f>O624 &amp; " " &amp; P624</f>
        <v>21°33'56.7"N 104°37'16.7"E</v>
      </c>
    </row>
    <row r="625" spans="1:17" ht="15.75" customHeight="1" x14ac:dyDescent="0.2">
      <c r="A625" s="1">
        <v>489</v>
      </c>
      <c r="B625" s="1" t="s">
        <v>1776</v>
      </c>
      <c r="C625" s="1" t="s">
        <v>15</v>
      </c>
      <c r="D625" s="1" t="s">
        <v>16</v>
      </c>
      <c r="E625" s="1" t="s">
        <v>1770</v>
      </c>
      <c r="F625" s="1" t="s">
        <v>1225</v>
      </c>
      <c r="G625" s="1" t="s">
        <v>1777</v>
      </c>
      <c r="H625" s="1" t="s">
        <v>1778</v>
      </c>
      <c r="I625" s="1" t="s">
        <v>21</v>
      </c>
      <c r="J625" s="1" t="s">
        <v>22</v>
      </c>
      <c r="K625" s="2">
        <v>21.573447059999999</v>
      </c>
      <c r="L625" s="2">
        <v>104.99970639999999</v>
      </c>
      <c r="M625" s="1" t="s">
        <v>1777</v>
      </c>
      <c r="N625" s="1" t="s">
        <v>1225</v>
      </c>
      <c r="O625" s="1" t="str">
        <f>INT(K625)&amp;"°"&amp;INT(MOD(K625,1)*60)&amp;"'"&amp;
ROUND(MOD(MOD(K625,1)*60,1)*60,1)&amp;"""N"</f>
        <v>21°34'24.4"N</v>
      </c>
      <c r="P625" s="1" t="str">
        <f>INT(L625)&amp;"°"&amp;INT(MOD(L625,1)*60)&amp;"'"&amp;
ROUND(MOD(MOD(L625,1)*60,1)*60,1)&amp;"""E"</f>
        <v>104°59'58.9"E</v>
      </c>
      <c r="Q625" s="1" t="str">
        <f>O625 &amp; " " &amp; P625</f>
        <v>21°34'24.4"N 104°59'58.9"E</v>
      </c>
    </row>
    <row r="626" spans="1:17" ht="15.75" customHeight="1" x14ac:dyDescent="0.2">
      <c r="A626" s="1">
        <v>620</v>
      </c>
      <c r="B626" s="1" t="s">
        <v>2240</v>
      </c>
      <c r="C626" s="1" t="s">
        <v>15</v>
      </c>
      <c r="D626" s="1" t="s">
        <v>16</v>
      </c>
      <c r="E626" s="1" t="s">
        <v>2217</v>
      </c>
      <c r="F626" s="1" t="s">
        <v>139</v>
      </c>
      <c r="G626" s="1" t="s">
        <v>139</v>
      </c>
      <c r="H626" s="1" t="s">
        <v>2241</v>
      </c>
      <c r="I626" s="1" t="s">
        <v>27</v>
      </c>
      <c r="J626" s="1" t="s">
        <v>28</v>
      </c>
      <c r="K626" s="2">
        <v>21.57897256</v>
      </c>
      <c r="L626" s="2">
        <v>105.81332128</v>
      </c>
      <c r="M626" s="1" t="s">
        <v>2242</v>
      </c>
      <c r="N626" s="1" t="s">
        <v>139</v>
      </c>
      <c r="O626" s="1" t="str">
        <f>INT(K626)&amp;"°"&amp;INT(MOD(K626,1)*60)&amp;"'"&amp;
ROUND(MOD(MOD(K626,1)*60,1)*60,1)&amp;"""N"</f>
        <v>21°34'44.3"N</v>
      </c>
      <c r="P626" s="1" t="str">
        <f>INT(L626)&amp;"°"&amp;INT(MOD(L626,1)*60)&amp;"'"&amp;
ROUND(MOD(MOD(L626,1)*60,1)*60,1)&amp;"""E"</f>
        <v>105°48'48"E</v>
      </c>
      <c r="Q626" s="1" t="str">
        <f>O626 &amp; " " &amp; P626</f>
        <v>21°34'44.3"N 105°48'48"E</v>
      </c>
    </row>
    <row r="627" spans="1:17" ht="15.75" customHeight="1" x14ac:dyDescent="0.2">
      <c r="A627" s="1">
        <v>704</v>
      </c>
      <c r="B627" s="1" t="s">
        <v>2539</v>
      </c>
      <c r="C627" s="1" t="s">
        <v>15</v>
      </c>
      <c r="D627" s="1" t="s">
        <v>16</v>
      </c>
      <c r="E627" s="1" t="s">
        <v>2530</v>
      </c>
      <c r="F627" s="1" t="s">
        <v>2531</v>
      </c>
      <c r="G627" s="1" t="s">
        <v>2540</v>
      </c>
      <c r="H627" s="1" t="s">
        <v>2541</v>
      </c>
      <c r="I627" s="1" t="s">
        <v>53</v>
      </c>
      <c r="J627" s="1" t="s">
        <v>54</v>
      </c>
      <c r="K627" s="2">
        <v>21.595406709999999</v>
      </c>
      <c r="L627" s="2">
        <v>104.49372812</v>
      </c>
      <c r="M627" s="1" t="s">
        <v>2540</v>
      </c>
      <c r="N627" s="1" t="s">
        <v>1529</v>
      </c>
      <c r="O627" s="1" t="str">
        <f>INT(K627)&amp;"°"&amp;INT(MOD(K627,1)*60)&amp;"'"&amp;
ROUND(MOD(MOD(K627,1)*60,1)*60,1)&amp;"""N"</f>
        <v>21°35'43.5"N</v>
      </c>
      <c r="P627" s="1" t="str">
        <f>INT(L627)&amp;"°"&amp;INT(MOD(L627,1)*60)&amp;"'"&amp;
ROUND(MOD(MOD(L627,1)*60,1)*60,1)&amp;"""E"</f>
        <v>104°29'37.4"E</v>
      </c>
      <c r="Q627" s="1" t="str">
        <f>O627 &amp; " " &amp; P627</f>
        <v>21°35'43.5"N 104°29'37.4"E</v>
      </c>
    </row>
    <row r="628" spans="1:17" ht="15.75" customHeight="1" x14ac:dyDescent="0.2">
      <c r="A628" s="1">
        <v>488</v>
      </c>
      <c r="B628" s="1" t="s">
        <v>1773</v>
      </c>
      <c r="C628" s="1" t="s">
        <v>15</v>
      </c>
      <c r="D628" s="1" t="s">
        <v>16</v>
      </c>
      <c r="E628" s="1" t="s">
        <v>1770</v>
      </c>
      <c r="F628" s="1" t="s">
        <v>1225</v>
      </c>
      <c r="G628" s="1" t="s">
        <v>1774</v>
      </c>
      <c r="H628" s="1" t="s">
        <v>1775</v>
      </c>
      <c r="I628" s="1" t="s">
        <v>21</v>
      </c>
      <c r="J628" s="1" t="s">
        <v>22</v>
      </c>
      <c r="K628" s="2">
        <v>21.61840565</v>
      </c>
      <c r="L628" s="2">
        <v>105.15344253000001</v>
      </c>
      <c r="M628" s="1" t="s">
        <v>1774</v>
      </c>
      <c r="N628" s="1" t="s">
        <v>1225</v>
      </c>
      <c r="O628" s="1" t="str">
        <f>INT(K628)&amp;"°"&amp;INT(MOD(K628,1)*60)&amp;"'"&amp;
ROUND(MOD(MOD(K628,1)*60,1)*60,1)&amp;"""N"</f>
        <v>21°37'6.3"N</v>
      </c>
      <c r="P628" s="1" t="str">
        <f>INT(L628)&amp;"°"&amp;INT(MOD(L628,1)*60)&amp;"'"&amp;
ROUND(MOD(MOD(L628,1)*60,1)*60,1)&amp;"""E"</f>
        <v>105°9'12.4"E</v>
      </c>
      <c r="Q628" s="1" t="str">
        <f>O628 &amp; " " &amp; P628</f>
        <v>21°37'6.3"N 105°9'12.4"E</v>
      </c>
    </row>
    <row r="629" spans="1:17" ht="15.75" customHeight="1" x14ac:dyDescent="0.2">
      <c r="A629" s="1">
        <v>613</v>
      </c>
      <c r="B629" s="1" t="s">
        <v>2216</v>
      </c>
      <c r="C629" s="1" t="s">
        <v>15</v>
      </c>
      <c r="D629" s="1" t="s">
        <v>16</v>
      </c>
      <c r="E629" s="1" t="s">
        <v>2217</v>
      </c>
      <c r="F629" s="1" t="s">
        <v>139</v>
      </c>
      <c r="G629" s="1" t="s">
        <v>2218</v>
      </c>
      <c r="H629" s="1" t="s">
        <v>2219</v>
      </c>
      <c r="I629" s="1" t="s">
        <v>21</v>
      </c>
      <c r="J629" s="1" t="s">
        <v>22</v>
      </c>
      <c r="K629" s="2">
        <v>21.62384123</v>
      </c>
      <c r="L629" s="2">
        <v>105.61816521999999</v>
      </c>
      <c r="M629" s="1" t="s">
        <v>2218</v>
      </c>
      <c r="N629" s="1" t="s">
        <v>139</v>
      </c>
      <c r="O629" s="1" t="str">
        <f>INT(K629)&amp;"°"&amp;INT(MOD(K629,1)*60)&amp;"'"&amp;
ROUND(MOD(MOD(K629,1)*60,1)*60,1)&amp;"""N"</f>
        <v>21°37'25.8"N</v>
      </c>
      <c r="P629" s="1" t="str">
        <f>INT(L629)&amp;"°"&amp;INT(MOD(L629,1)*60)&amp;"'"&amp;
ROUND(MOD(MOD(L629,1)*60,1)*60,1)&amp;"""E"</f>
        <v>105°37'5.4"E</v>
      </c>
      <c r="Q629" s="1" t="str">
        <f>O629 &amp; " " &amp; P629</f>
        <v>21°37'25.8"N 105°37'5.4"E</v>
      </c>
    </row>
    <row r="630" spans="1:17" ht="15.75" customHeight="1" x14ac:dyDescent="0.2">
      <c r="A630" s="1">
        <v>682</v>
      </c>
      <c r="B630" s="1" t="s">
        <v>2460</v>
      </c>
      <c r="C630" s="1" t="s">
        <v>15</v>
      </c>
      <c r="D630" s="1" t="s">
        <v>16</v>
      </c>
      <c r="E630" s="1" t="s">
        <v>2446</v>
      </c>
      <c r="F630" s="1" t="s">
        <v>803</v>
      </c>
      <c r="G630" s="1" t="s">
        <v>2461</v>
      </c>
      <c r="H630" s="1" t="s">
        <v>2462</v>
      </c>
      <c r="I630" s="1" t="s">
        <v>21</v>
      </c>
      <c r="J630" s="1" t="s">
        <v>22</v>
      </c>
      <c r="K630" s="2">
        <v>21.654200809999999</v>
      </c>
      <c r="L630" s="2">
        <v>105.38821038</v>
      </c>
      <c r="M630" s="1" t="s">
        <v>2461</v>
      </c>
      <c r="N630" s="1" t="s">
        <v>803</v>
      </c>
      <c r="O630" s="1" t="str">
        <f>INT(K630)&amp;"°"&amp;INT(MOD(K630,1)*60)&amp;"'"&amp;
ROUND(MOD(MOD(K630,1)*60,1)*60,1)&amp;"""N"</f>
        <v>21°39'15.1"N</v>
      </c>
      <c r="P630" s="1" t="str">
        <f>INT(L630)&amp;"°"&amp;INT(MOD(L630,1)*60)&amp;"'"&amp;
ROUND(MOD(MOD(L630,1)*60,1)*60,1)&amp;"""E"</f>
        <v>105°23'17.6"E</v>
      </c>
      <c r="Q630" s="1" t="str">
        <f>O630 &amp; " " &amp; P630</f>
        <v>21°39'15.1"N 105°23'17.6"E</v>
      </c>
    </row>
    <row r="631" spans="1:17" ht="15.75" customHeight="1" x14ac:dyDescent="0.2">
      <c r="A631" s="1">
        <v>409</v>
      </c>
      <c r="B631" s="1" t="s">
        <v>1498</v>
      </c>
      <c r="C631" s="1" t="s">
        <v>15</v>
      </c>
      <c r="D631" s="1" t="s">
        <v>16</v>
      </c>
      <c r="E631" s="1" t="s">
        <v>1485</v>
      </c>
      <c r="F631" s="1" t="s">
        <v>1486</v>
      </c>
      <c r="G631" s="1" t="s">
        <v>1499</v>
      </c>
      <c r="H631" s="1" t="s">
        <v>1500</v>
      </c>
      <c r="I631" s="1" t="s">
        <v>21</v>
      </c>
      <c r="J631" s="1" t="s">
        <v>22</v>
      </c>
      <c r="K631" s="2">
        <v>21.668889010000001</v>
      </c>
      <c r="L631" s="2">
        <v>106.61687670000001</v>
      </c>
      <c r="M631" s="1" t="s">
        <v>1501</v>
      </c>
      <c r="N631" s="1" t="s">
        <v>1486</v>
      </c>
      <c r="O631" s="1" t="str">
        <f>INT(K631)&amp;"°"&amp;INT(MOD(K631,1)*60)&amp;"'"&amp;
ROUND(MOD(MOD(K631,1)*60,1)*60,1)&amp;"""N"</f>
        <v>21°40'8"N</v>
      </c>
      <c r="P631" s="1" t="str">
        <f>INT(L631)&amp;"°"&amp;INT(MOD(L631,1)*60)&amp;"'"&amp;
ROUND(MOD(MOD(L631,1)*60,1)*60,1)&amp;"""E"</f>
        <v>106°37'0.8"E</v>
      </c>
      <c r="Q631" s="1" t="str">
        <f>O631 &amp; " " &amp; P631</f>
        <v>21°40'8"N 106°37'0.8"E</v>
      </c>
    </row>
    <row r="632" spans="1:17" ht="15.75" customHeight="1" x14ac:dyDescent="0.2">
      <c r="A632" s="1">
        <v>172</v>
      </c>
      <c r="B632" s="1" t="s">
        <v>656</v>
      </c>
      <c r="C632" s="1" t="s">
        <v>15</v>
      </c>
      <c r="D632" s="1" t="s">
        <v>16</v>
      </c>
      <c r="E632" s="1" t="s">
        <v>624</v>
      </c>
      <c r="F632" s="1" t="s">
        <v>625</v>
      </c>
      <c r="G632" s="1" t="s">
        <v>657</v>
      </c>
      <c r="H632" s="1" t="s">
        <v>658</v>
      </c>
      <c r="I632" s="1" t="s">
        <v>21</v>
      </c>
      <c r="J632" s="1" t="s">
        <v>22</v>
      </c>
      <c r="K632" s="2">
        <v>21.66998933</v>
      </c>
      <c r="L632" s="2">
        <v>103.39628372</v>
      </c>
      <c r="M632" s="1" t="s">
        <v>657</v>
      </c>
      <c r="N632" s="1" t="s">
        <v>625</v>
      </c>
      <c r="O632" s="1" t="str">
        <f>INT(K632)&amp;"°"&amp;INT(MOD(K632,1)*60)&amp;"'"&amp;
ROUND(MOD(MOD(K632,1)*60,1)*60,1)&amp;"""N"</f>
        <v>21°40'12"N</v>
      </c>
      <c r="P632" s="1" t="str">
        <f>INT(L632)&amp;"°"&amp;INT(MOD(L632,1)*60)&amp;"'"&amp;
ROUND(MOD(MOD(L632,1)*60,1)*60,1)&amp;"""E"</f>
        <v>103°23'46.6"E</v>
      </c>
      <c r="Q632" s="1" t="str">
        <f>O632 &amp; " " &amp; P632</f>
        <v>21°40'12"N 103°23'46.6"E</v>
      </c>
    </row>
    <row r="633" spans="1:17" ht="15.75" customHeight="1" x14ac:dyDescent="0.2">
      <c r="A633" s="1">
        <v>615</v>
      </c>
      <c r="B633" s="1" t="s">
        <v>2223</v>
      </c>
      <c r="C633" s="1" t="s">
        <v>15</v>
      </c>
      <c r="D633" s="1" t="s">
        <v>16</v>
      </c>
      <c r="E633" s="1" t="s">
        <v>2217</v>
      </c>
      <c r="F633" s="1" t="s">
        <v>139</v>
      </c>
      <c r="G633" s="1" t="s">
        <v>2224</v>
      </c>
      <c r="H633" s="1" t="s">
        <v>2225</v>
      </c>
      <c r="I633" s="1" t="s">
        <v>21</v>
      </c>
      <c r="J633" s="1" t="s">
        <v>22</v>
      </c>
      <c r="K633" s="2">
        <v>21.675740059999999</v>
      </c>
      <c r="L633" s="2">
        <v>105.91375619</v>
      </c>
      <c r="M633" s="1" t="s">
        <v>2226</v>
      </c>
      <c r="N633" s="1" t="s">
        <v>139</v>
      </c>
      <c r="O633" s="1" t="str">
        <f>INT(K633)&amp;"°"&amp;INT(MOD(K633,1)*60)&amp;"'"&amp;
ROUND(MOD(MOD(K633,1)*60,1)*60,1)&amp;"""N"</f>
        <v>21°40'32.7"N</v>
      </c>
      <c r="P633" s="1" t="str">
        <f>INT(L633)&amp;"°"&amp;INT(MOD(L633,1)*60)&amp;"'"&amp;
ROUND(MOD(MOD(L633,1)*60,1)*60,1)&amp;"""E"</f>
        <v>105°54'49.5"E</v>
      </c>
      <c r="Q633" s="1" t="str">
        <f>O633 &amp; " " &amp; P633</f>
        <v>21°40'32.7"N 105°54'49.5"E</v>
      </c>
    </row>
    <row r="634" spans="1:17" ht="15.75" customHeight="1" x14ac:dyDescent="0.2">
      <c r="A634" s="1">
        <v>706</v>
      </c>
      <c r="B634" s="1" t="s">
        <v>2545</v>
      </c>
      <c r="C634" s="1" t="s">
        <v>15</v>
      </c>
      <c r="D634" s="1" t="s">
        <v>16</v>
      </c>
      <c r="E634" s="1" t="s">
        <v>2530</v>
      </c>
      <c r="F634" s="1" t="s">
        <v>2531</v>
      </c>
      <c r="G634" s="1" t="s">
        <v>2546</v>
      </c>
      <c r="H634" s="1" t="s">
        <v>2547</v>
      </c>
      <c r="I634" s="1" t="s">
        <v>21</v>
      </c>
      <c r="J634" s="1" t="s">
        <v>22</v>
      </c>
      <c r="K634" s="2">
        <v>21.678246340000001</v>
      </c>
      <c r="L634" s="2">
        <v>104.78936258</v>
      </c>
      <c r="M634" s="1" t="s">
        <v>2548</v>
      </c>
      <c r="N634" s="1" t="s">
        <v>1529</v>
      </c>
      <c r="O634" s="1" t="str">
        <f>INT(K634)&amp;"°"&amp;INT(MOD(K634,1)*60)&amp;"'"&amp;
ROUND(MOD(MOD(K634,1)*60,1)*60,1)&amp;"""N"</f>
        <v>21°40'41.7"N</v>
      </c>
      <c r="P634" s="1" t="str">
        <f>INT(L634)&amp;"°"&amp;INT(MOD(L634,1)*60)&amp;"'"&amp;
ROUND(MOD(MOD(L634,1)*60,1)*60,1)&amp;"""E"</f>
        <v>104°47'21.7"E</v>
      </c>
      <c r="Q634" s="1" t="str">
        <f>O634 &amp; " " &amp; P634</f>
        <v>21°40'41.7"N 104°47'21.7"E</v>
      </c>
    </row>
    <row r="635" spans="1:17" ht="15.75" customHeight="1" x14ac:dyDescent="0.2">
      <c r="A635" s="1">
        <v>413</v>
      </c>
      <c r="B635" s="1" t="s">
        <v>1512</v>
      </c>
      <c r="C635" s="1" t="s">
        <v>15</v>
      </c>
      <c r="D635" s="1" t="s">
        <v>16</v>
      </c>
      <c r="E635" s="1" t="s">
        <v>1485</v>
      </c>
      <c r="F635" s="1" t="s">
        <v>1486</v>
      </c>
      <c r="G635" s="1" t="s">
        <v>1513</v>
      </c>
      <c r="H635" s="1" t="s">
        <v>1514</v>
      </c>
      <c r="I635" s="1" t="s">
        <v>21</v>
      </c>
      <c r="J635" s="1" t="s">
        <v>22</v>
      </c>
      <c r="K635" s="2">
        <v>21.688303260000001</v>
      </c>
      <c r="L635" s="2">
        <v>106.94206964</v>
      </c>
      <c r="M635" s="1" t="s">
        <v>1515</v>
      </c>
      <c r="N635" s="1" t="s">
        <v>1486</v>
      </c>
      <c r="O635" s="1" t="str">
        <f>INT(K635)&amp;"°"&amp;INT(MOD(K635,1)*60)&amp;"'"&amp;
ROUND(MOD(MOD(K635,1)*60,1)*60,1)&amp;"""N"</f>
        <v>21°41'17.9"N</v>
      </c>
      <c r="P635" s="1" t="str">
        <f>INT(L635)&amp;"°"&amp;INT(MOD(L635,1)*60)&amp;"'"&amp;
ROUND(MOD(MOD(L635,1)*60,1)*60,1)&amp;"""E"</f>
        <v>106°56'31.5"E</v>
      </c>
      <c r="Q635" s="1" t="str">
        <f>O635 &amp; " " &amp; P635</f>
        <v>21°41'17.9"N 106°56'31.5"E</v>
      </c>
    </row>
    <row r="636" spans="1:17" ht="15.75" customHeight="1" x14ac:dyDescent="0.2">
      <c r="A636" s="1">
        <v>709</v>
      </c>
      <c r="B636" s="1" t="s">
        <v>2556</v>
      </c>
      <c r="C636" s="1" t="s">
        <v>15</v>
      </c>
      <c r="D636" s="1" t="s">
        <v>16</v>
      </c>
      <c r="E636" s="1" t="s">
        <v>2530</v>
      </c>
      <c r="F636" s="1" t="s">
        <v>2531</v>
      </c>
      <c r="G636" s="1" t="s">
        <v>2531</v>
      </c>
      <c r="H636" s="1" t="s">
        <v>2557</v>
      </c>
      <c r="I636" s="1" t="s">
        <v>27</v>
      </c>
      <c r="J636" s="1" t="s">
        <v>28</v>
      </c>
      <c r="K636" s="2">
        <v>21.707785179999998</v>
      </c>
      <c r="L636" s="2">
        <v>104.89469579999999</v>
      </c>
      <c r="M636" s="1" t="s">
        <v>2531</v>
      </c>
      <c r="N636" s="1" t="s">
        <v>1529</v>
      </c>
      <c r="O636" s="1" t="str">
        <f>INT(K636)&amp;"°"&amp;INT(MOD(K636,1)*60)&amp;"'"&amp;
ROUND(MOD(MOD(K636,1)*60,1)*60,1)&amp;"""N"</f>
        <v>21°42'28"N</v>
      </c>
      <c r="P636" s="1" t="str">
        <f>INT(L636)&amp;"°"&amp;INT(MOD(L636,1)*60)&amp;"'"&amp;
ROUND(MOD(MOD(L636,1)*60,1)*60,1)&amp;"""E"</f>
        <v>104°53'40.9"E</v>
      </c>
      <c r="Q636" s="1" t="str">
        <f>O636 &amp; " " &amp; P636</f>
        <v>21°42'28"N 104°53'40.9"E</v>
      </c>
    </row>
    <row r="637" spans="1:17" ht="15.75" customHeight="1" x14ac:dyDescent="0.2">
      <c r="A637" s="1">
        <v>618</v>
      </c>
      <c r="B637" s="1" t="s">
        <v>2234</v>
      </c>
      <c r="C637" s="1" t="s">
        <v>15</v>
      </c>
      <c r="D637" s="1" t="s">
        <v>16</v>
      </c>
      <c r="E637" s="1" t="s">
        <v>2217</v>
      </c>
      <c r="F637" s="1" t="s">
        <v>139</v>
      </c>
      <c r="G637" s="1" t="s">
        <v>897</v>
      </c>
      <c r="H637" s="1" t="s">
        <v>2235</v>
      </c>
      <c r="I637" s="1" t="s">
        <v>21</v>
      </c>
      <c r="J637" s="1" t="s">
        <v>22</v>
      </c>
      <c r="K637" s="2">
        <v>21.77035936</v>
      </c>
      <c r="L637" s="2">
        <v>105.72611860000001</v>
      </c>
      <c r="M637" s="1" t="s">
        <v>897</v>
      </c>
      <c r="N637" s="1" t="s">
        <v>139</v>
      </c>
      <c r="O637" s="1" t="str">
        <f>INT(K637)&amp;"°"&amp;INT(MOD(K637,1)*60)&amp;"'"&amp;
ROUND(MOD(MOD(K637,1)*60,1)*60,1)&amp;"""N"</f>
        <v>21°46'13.3"N</v>
      </c>
      <c r="P637" s="1" t="str">
        <f>INT(L637)&amp;"°"&amp;INT(MOD(L637,1)*60)&amp;"'"&amp;
ROUND(MOD(MOD(L637,1)*60,1)*60,1)&amp;"""E"</f>
        <v>105°43'34"E</v>
      </c>
      <c r="Q637" s="1" t="str">
        <f>O637 &amp; " " &amp; P637</f>
        <v>21°46'13.3"N 105°43'34"E</v>
      </c>
    </row>
    <row r="638" spans="1:17" ht="15.75" customHeight="1" x14ac:dyDescent="0.2">
      <c r="A638" s="1">
        <v>589</v>
      </c>
      <c r="B638" s="1" t="s">
        <v>2137</v>
      </c>
      <c r="C638" s="1" t="s">
        <v>15</v>
      </c>
      <c r="D638" s="1" t="s">
        <v>16</v>
      </c>
      <c r="E638" s="1" t="s">
        <v>2120</v>
      </c>
      <c r="F638" s="1" t="s">
        <v>2121</v>
      </c>
      <c r="G638" s="1" t="s">
        <v>2138</v>
      </c>
      <c r="H638" s="1" t="s">
        <v>2139</v>
      </c>
      <c r="I638" s="1" t="s">
        <v>21</v>
      </c>
      <c r="J638" s="1" t="s">
        <v>22</v>
      </c>
      <c r="K638" s="2">
        <v>21.77164076</v>
      </c>
      <c r="L638" s="2">
        <v>103.65001847000001</v>
      </c>
      <c r="M638" s="1" t="s">
        <v>2140</v>
      </c>
      <c r="N638" s="1" t="s">
        <v>2121</v>
      </c>
      <c r="O638" s="1" t="str">
        <f>INT(K638)&amp;"°"&amp;INT(MOD(K638,1)*60)&amp;"'"&amp;
ROUND(MOD(MOD(K638,1)*60,1)*60,1)&amp;"""N"</f>
        <v>21°46'17.9"N</v>
      </c>
      <c r="P638" s="1" t="str">
        <f>INT(L638)&amp;"°"&amp;INT(MOD(L638,1)*60)&amp;"'"&amp;
ROUND(MOD(MOD(L638,1)*60,1)*60,1)&amp;"""E"</f>
        <v>103°39'0.1"E</v>
      </c>
      <c r="Q638" s="1" t="str">
        <f>O638 &amp; " " &amp; P638</f>
        <v>21°46'17.9"N 103°39'0.1"E</v>
      </c>
    </row>
    <row r="639" spans="1:17" ht="15.75" customHeight="1" x14ac:dyDescent="0.2">
      <c r="A639" s="1">
        <v>621</v>
      </c>
      <c r="B639" s="1" t="s">
        <v>2243</v>
      </c>
      <c r="C639" s="1" t="s">
        <v>15</v>
      </c>
      <c r="D639" s="1" t="s">
        <v>16</v>
      </c>
      <c r="E639" s="1" t="s">
        <v>2217</v>
      </c>
      <c r="F639" s="1" t="s">
        <v>139</v>
      </c>
      <c r="G639" s="1" t="s">
        <v>2244</v>
      </c>
      <c r="H639" s="1" t="s">
        <v>2245</v>
      </c>
      <c r="I639" s="1" t="s">
        <v>21</v>
      </c>
      <c r="J639" s="1" t="s">
        <v>22</v>
      </c>
      <c r="K639" s="2">
        <v>21.778824740000001</v>
      </c>
      <c r="L639" s="2">
        <v>106.03997651</v>
      </c>
      <c r="M639" s="1" t="s">
        <v>2246</v>
      </c>
      <c r="N639" s="1" t="s">
        <v>139</v>
      </c>
      <c r="O639" s="1" t="str">
        <f>INT(K639)&amp;"°"&amp;INT(MOD(K639,1)*60)&amp;"'"&amp;
ROUND(MOD(MOD(K639,1)*60,1)*60,1)&amp;"""N"</f>
        <v>21°46'43.8"N</v>
      </c>
      <c r="P639" s="1" t="str">
        <f>INT(L639)&amp;"°"&amp;INT(MOD(L639,1)*60)&amp;"'"&amp;
ROUND(MOD(MOD(L639,1)*60,1)*60,1)&amp;"""E"</f>
        <v>106°2'23.9"E</v>
      </c>
      <c r="Q639" s="1" t="str">
        <f>O639 &amp; " " &amp; P639</f>
        <v>21°46'43.8"N 106°2'23.9"E</v>
      </c>
    </row>
    <row r="640" spans="1:17" ht="15.75" customHeight="1" x14ac:dyDescent="0.2">
      <c r="A640" s="1">
        <v>683</v>
      </c>
      <c r="B640" s="1" t="s">
        <v>2463</v>
      </c>
      <c r="C640" s="1" t="s">
        <v>15</v>
      </c>
      <c r="D640" s="1" t="s">
        <v>16</v>
      </c>
      <c r="E640" s="1" t="s">
        <v>2446</v>
      </c>
      <c r="F640" s="1" t="s">
        <v>803</v>
      </c>
      <c r="G640" s="1" t="s">
        <v>803</v>
      </c>
      <c r="H640" s="1" t="s">
        <v>2464</v>
      </c>
      <c r="I640" s="1" t="s">
        <v>27</v>
      </c>
      <c r="J640" s="1" t="s">
        <v>28</v>
      </c>
      <c r="K640" s="2">
        <v>21.78153369</v>
      </c>
      <c r="L640" s="2">
        <v>105.22646681000001</v>
      </c>
      <c r="M640" s="1" t="s">
        <v>2465</v>
      </c>
      <c r="N640" s="1" t="s">
        <v>803</v>
      </c>
      <c r="O640" s="1" t="str">
        <f>INT(K640)&amp;"°"&amp;INT(MOD(K640,1)*60)&amp;"'"&amp;
ROUND(MOD(MOD(K640,1)*60,1)*60,1)&amp;"""N"</f>
        <v>21°46'53.5"N</v>
      </c>
      <c r="P640" s="1" t="str">
        <f>INT(L640)&amp;"°"&amp;INT(MOD(L640,1)*60)&amp;"'"&amp;
ROUND(MOD(MOD(L640,1)*60,1)*60,1)&amp;"""E"</f>
        <v>105°13'35.3"E</v>
      </c>
      <c r="Q640" s="1" t="str">
        <f>O640 &amp; " " &amp; P640</f>
        <v>21°46'53.5"N 105°13'35.3"E</v>
      </c>
    </row>
    <row r="641" spans="1:17" ht="15.75" customHeight="1" x14ac:dyDescent="0.2">
      <c r="A641" s="1">
        <v>703</v>
      </c>
      <c r="B641" s="1" t="s">
        <v>2535</v>
      </c>
      <c r="C641" s="1" t="s">
        <v>15</v>
      </c>
      <c r="D641" s="1" t="s">
        <v>16</v>
      </c>
      <c r="E641" s="1" t="s">
        <v>2530</v>
      </c>
      <c r="F641" s="1" t="s">
        <v>2531</v>
      </c>
      <c r="G641" s="1" t="s">
        <v>2536</v>
      </c>
      <c r="H641" s="1" t="s">
        <v>2537</v>
      </c>
      <c r="I641" s="1" t="s">
        <v>21</v>
      </c>
      <c r="J641" s="1" t="s">
        <v>22</v>
      </c>
      <c r="K641" s="2">
        <v>21.795323849999999</v>
      </c>
      <c r="L641" s="2">
        <v>104.12712605999999</v>
      </c>
      <c r="M641" s="1" t="s">
        <v>2538</v>
      </c>
      <c r="N641" s="1" t="s">
        <v>1529</v>
      </c>
      <c r="O641" s="1" t="str">
        <f>INT(K641)&amp;"°"&amp;INT(MOD(K641,1)*60)&amp;"'"&amp;
ROUND(MOD(MOD(K641,1)*60,1)*60,1)&amp;"""N"</f>
        <v>21°47'43.2"N</v>
      </c>
      <c r="P641" s="1" t="str">
        <f>INT(L641)&amp;"°"&amp;INT(MOD(L641,1)*60)&amp;"'"&amp;
ROUND(MOD(MOD(L641,1)*60,1)*60,1)&amp;"""E"</f>
        <v>104°7'37.7"E</v>
      </c>
      <c r="Q641" s="1" t="str">
        <f>O641 &amp; " " &amp; P641</f>
        <v>21°47'43.2"N 104°7'37.7"E</v>
      </c>
    </row>
    <row r="642" spans="1:17" ht="15.75" customHeight="1" x14ac:dyDescent="0.2">
      <c r="A642" s="1">
        <v>406</v>
      </c>
      <c r="B642" s="1" t="s">
        <v>1484</v>
      </c>
      <c r="C642" s="1" t="s">
        <v>15</v>
      </c>
      <c r="D642" s="1" t="s">
        <v>16</v>
      </c>
      <c r="E642" s="1" t="s">
        <v>1485</v>
      </c>
      <c r="F642" s="1" t="s">
        <v>1486</v>
      </c>
      <c r="G642" s="1" t="s">
        <v>1487</v>
      </c>
      <c r="H642" s="1" t="s">
        <v>1488</v>
      </c>
      <c r="I642" s="1" t="s">
        <v>21</v>
      </c>
      <c r="J642" s="1" t="s">
        <v>22</v>
      </c>
      <c r="K642" s="2">
        <v>21.826207270000001</v>
      </c>
      <c r="L642" s="2">
        <v>106.26600333</v>
      </c>
      <c r="M642" s="1" t="s">
        <v>1489</v>
      </c>
      <c r="N642" s="1" t="s">
        <v>1486</v>
      </c>
      <c r="O642" s="1" t="str">
        <f>INT(K642)&amp;"°"&amp;INT(MOD(K642,1)*60)&amp;"'"&amp;
ROUND(MOD(MOD(K642,1)*60,1)*60,1)&amp;"""N"</f>
        <v>21°49'34.3"N</v>
      </c>
      <c r="P642" s="1" t="str">
        <f>INT(L642)&amp;"°"&amp;INT(MOD(L642,1)*60)&amp;"'"&amp;
ROUND(MOD(MOD(L642,1)*60,1)*60,1)&amp;"""E"</f>
        <v>106°15'57.6"E</v>
      </c>
      <c r="Q642" s="1" t="str">
        <f>O642 &amp; " " &amp; P642</f>
        <v>21°49'34.3"N 106°15'57.6"E</v>
      </c>
    </row>
    <row r="643" spans="1:17" ht="15.75" customHeight="1" x14ac:dyDescent="0.2">
      <c r="A643" s="1">
        <v>167</v>
      </c>
      <c r="B643" s="1" t="s">
        <v>638</v>
      </c>
      <c r="C643" s="1" t="s">
        <v>15</v>
      </c>
      <c r="D643" s="1" t="s">
        <v>16</v>
      </c>
      <c r="E643" s="1" t="s">
        <v>624</v>
      </c>
      <c r="F643" s="1" t="s">
        <v>625</v>
      </c>
      <c r="G643" s="1" t="s">
        <v>639</v>
      </c>
      <c r="H643" s="1" t="s">
        <v>640</v>
      </c>
      <c r="I643" s="1" t="s">
        <v>21</v>
      </c>
      <c r="J643" s="1" t="s">
        <v>22</v>
      </c>
      <c r="K643" s="2">
        <v>21.83558107</v>
      </c>
      <c r="L643" s="2">
        <v>103.12341699</v>
      </c>
      <c r="M643" s="1" t="s">
        <v>641</v>
      </c>
      <c r="N643" s="1" t="s">
        <v>625</v>
      </c>
      <c r="O643" s="1" t="str">
        <f>INT(K643)&amp;"°"&amp;INT(MOD(K643,1)*60)&amp;"'"&amp;
ROUND(MOD(MOD(K643,1)*60,1)*60,1)&amp;"""N"</f>
        <v>21°50'8.1"N</v>
      </c>
      <c r="P643" s="1" t="str">
        <f>INT(L643)&amp;"°"&amp;INT(MOD(L643,1)*60)&amp;"'"&amp;
ROUND(MOD(MOD(L643,1)*60,1)*60,1)&amp;"""E"</f>
        <v>103°7'24.3"E</v>
      </c>
      <c r="Q643" s="1" t="str">
        <f>O643 &amp; " " &amp; P643</f>
        <v>21°50'8.1"N 103°7'24.3"E</v>
      </c>
    </row>
    <row r="644" spans="1:17" ht="15.75" customHeight="1" x14ac:dyDescent="0.2">
      <c r="A644" s="1">
        <v>416</v>
      </c>
      <c r="B644" s="1" t="s">
        <v>1523</v>
      </c>
      <c r="C644" s="1" t="s">
        <v>15</v>
      </c>
      <c r="D644" s="1" t="s">
        <v>16</v>
      </c>
      <c r="E644" s="1" t="s">
        <v>1485</v>
      </c>
      <c r="F644" s="1" t="s">
        <v>1486</v>
      </c>
      <c r="G644" s="1" t="s">
        <v>1524</v>
      </c>
      <c r="H644" s="1" t="s">
        <v>1525</v>
      </c>
      <c r="I644" s="1" t="s">
        <v>21</v>
      </c>
      <c r="J644" s="1" t="s">
        <v>22</v>
      </c>
      <c r="K644" s="2">
        <v>21.838779630000001</v>
      </c>
      <c r="L644" s="2">
        <v>106.53464957</v>
      </c>
      <c r="M644" s="1" t="s">
        <v>1526</v>
      </c>
      <c r="N644" s="1" t="s">
        <v>1486</v>
      </c>
      <c r="O644" s="1" t="str">
        <f>INT(K644)&amp;"°"&amp;INT(MOD(K644,1)*60)&amp;"'"&amp;
ROUND(MOD(MOD(K644,1)*60,1)*60,1)&amp;"""N"</f>
        <v>21°50'19.6"N</v>
      </c>
      <c r="P644" s="1" t="str">
        <f>INT(L644)&amp;"°"&amp;INT(MOD(L644,1)*60)&amp;"'"&amp;
ROUND(MOD(MOD(L644,1)*60,1)*60,1)&amp;"""E"</f>
        <v>106°32'4.7"E</v>
      </c>
      <c r="Q644" s="1" t="str">
        <f>O644 &amp; " " &amp; P644</f>
        <v>21°50'19.6"N 106°32'4.7"E</v>
      </c>
    </row>
    <row r="645" spans="1:17" ht="15.75" customHeight="1" x14ac:dyDescent="0.2">
      <c r="A645" s="1">
        <v>412</v>
      </c>
      <c r="B645" s="1" t="s">
        <v>1509</v>
      </c>
      <c r="C645" s="1" t="s">
        <v>15</v>
      </c>
      <c r="D645" s="1" t="s">
        <v>16</v>
      </c>
      <c r="E645" s="1" t="s">
        <v>1485</v>
      </c>
      <c r="F645" s="1" t="s">
        <v>1486</v>
      </c>
      <c r="G645" s="1" t="s">
        <v>1486</v>
      </c>
      <c r="H645" s="1" t="s">
        <v>1510</v>
      </c>
      <c r="I645" s="1" t="s">
        <v>27</v>
      </c>
      <c r="J645" s="1" t="s">
        <v>28</v>
      </c>
      <c r="K645" s="2">
        <v>21.849834789999999</v>
      </c>
      <c r="L645" s="2">
        <v>106.74333849999999</v>
      </c>
      <c r="M645" s="1" t="s">
        <v>1511</v>
      </c>
      <c r="N645" s="1" t="s">
        <v>1486</v>
      </c>
      <c r="O645" s="1" t="str">
        <f>INT(K645)&amp;"°"&amp;INT(MOD(K645,1)*60)&amp;"'"&amp;
ROUND(MOD(MOD(K645,1)*60,1)*60,1)&amp;"""N"</f>
        <v>21°50'59.4"N</v>
      </c>
      <c r="P645" s="1" t="str">
        <f>INT(L645)&amp;"°"&amp;INT(MOD(L645,1)*60)&amp;"'"&amp;
ROUND(MOD(MOD(L645,1)*60,1)*60,1)&amp;"""E"</f>
        <v>106°44'36"E</v>
      </c>
      <c r="Q645" s="1" t="str">
        <f>O645 &amp; " " &amp; P645</f>
        <v>21°50'59.4"N 106°44'36"E</v>
      </c>
    </row>
    <row r="646" spans="1:17" ht="15.75" customHeight="1" x14ac:dyDescent="0.2">
      <c r="A646" s="1">
        <v>710</v>
      </c>
      <c r="B646" s="1" t="s">
        <v>2558</v>
      </c>
      <c r="C646" s="1" t="s">
        <v>15</v>
      </c>
      <c r="D646" s="1" t="s">
        <v>16</v>
      </c>
      <c r="E646" s="1" t="s">
        <v>2530</v>
      </c>
      <c r="F646" s="1" t="s">
        <v>2531</v>
      </c>
      <c r="G646" s="1" t="s">
        <v>2559</v>
      </c>
      <c r="H646" s="1" t="s">
        <v>2560</v>
      </c>
      <c r="I646" s="1" t="s">
        <v>21</v>
      </c>
      <c r="J646" s="1" t="s">
        <v>22</v>
      </c>
      <c r="K646" s="2">
        <v>21.865224420000001</v>
      </c>
      <c r="L646" s="2">
        <v>104.94373133000001</v>
      </c>
      <c r="M646" s="1" t="s">
        <v>1714</v>
      </c>
      <c r="N646" s="1" t="s">
        <v>1529</v>
      </c>
      <c r="O646" s="1" t="str">
        <f>INT(K646)&amp;"°"&amp;INT(MOD(K646,1)*60)&amp;"'"&amp;
ROUND(MOD(MOD(K646,1)*60,1)*60,1)&amp;"""N"</f>
        <v>21°51'54.8"N</v>
      </c>
      <c r="P646" s="1" t="str">
        <f>INT(L646)&amp;"°"&amp;INT(MOD(L646,1)*60)&amp;"'"&amp;
ROUND(MOD(MOD(L646,1)*60,1)*60,1)&amp;"""E"</f>
        <v>104°56'37.4"E</v>
      </c>
      <c r="Q646" s="1" t="str">
        <f>O646 &amp; " " &amp; P646</f>
        <v>21°51'54.8"N 104°56'37.4"E</v>
      </c>
    </row>
    <row r="647" spans="1:17" ht="15.75" customHeight="1" x14ac:dyDescent="0.2">
      <c r="A647" s="1">
        <v>684</v>
      </c>
      <c r="B647" s="1" t="s">
        <v>2466</v>
      </c>
      <c r="C647" s="1" t="s">
        <v>15</v>
      </c>
      <c r="D647" s="1" t="s">
        <v>16</v>
      </c>
      <c r="E647" s="1" t="s">
        <v>2446</v>
      </c>
      <c r="F647" s="1" t="s">
        <v>803</v>
      </c>
      <c r="G647" s="1" t="s">
        <v>2467</v>
      </c>
      <c r="H647" s="1" t="s">
        <v>2468</v>
      </c>
      <c r="I647" s="1" t="s">
        <v>21</v>
      </c>
      <c r="J647" s="1" t="s">
        <v>22</v>
      </c>
      <c r="K647" s="2">
        <v>21.879925539999999</v>
      </c>
      <c r="L647" s="2">
        <v>105.28863735</v>
      </c>
      <c r="M647" s="1" t="s">
        <v>2469</v>
      </c>
      <c r="N647" s="1" t="s">
        <v>803</v>
      </c>
      <c r="O647" s="1" t="str">
        <f>INT(K647)&amp;"°"&amp;INT(MOD(K647,1)*60)&amp;"'"&amp;
ROUND(MOD(MOD(K647,1)*60,1)*60,1)&amp;"""N"</f>
        <v>21°52'47.7"N</v>
      </c>
      <c r="P647" s="1" t="str">
        <f>INT(L647)&amp;"°"&amp;INT(MOD(L647,1)*60)&amp;"'"&amp;
ROUND(MOD(MOD(L647,1)*60,1)*60,1)&amp;"""E"</f>
        <v>105°17'19.1"E</v>
      </c>
      <c r="Q647" s="1" t="str">
        <f>O647 &amp; " " &amp; P647</f>
        <v>21°52'47.7"N 105°17'19.1"E</v>
      </c>
    </row>
    <row r="648" spans="1:17" ht="15.75" customHeight="1" x14ac:dyDescent="0.2">
      <c r="A648" s="1">
        <v>408</v>
      </c>
      <c r="B648" s="1" t="s">
        <v>1494</v>
      </c>
      <c r="C648" s="1" t="s">
        <v>15</v>
      </c>
      <c r="D648" s="1" t="s">
        <v>16</v>
      </c>
      <c r="E648" s="1" t="s">
        <v>1485</v>
      </c>
      <c r="F648" s="1" t="s">
        <v>1486</v>
      </c>
      <c r="G648" s="1" t="s">
        <v>1495</v>
      </c>
      <c r="H648" s="1" t="s">
        <v>1496</v>
      </c>
      <c r="I648" s="1" t="s">
        <v>21</v>
      </c>
      <c r="J648" s="1" t="s">
        <v>22</v>
      </c>
      <c r="K648" s="2">
        <v>21.888445990000001</v>
      </c>
      <c r="L648" s="2">
        <v>106.82405787</v>
      </c>
      <c r="M648" s="1" t="s">
        <v>1497</v>
      </c>
      <c r="N648" s="1" t="s">
        <v>1486</v>
      </c>
      <c r="O648" s="1" t="str">
        <f>INT(K648)&amp;"°"&amp;INT(MOD(K648,1)*60)&amp;"'"&amp;
ROUND(MOD(MOD(K648,1)*60,1)*60,1)&amp;"""N"</f>
        <v>21°53'18.4"N</v>
      </c>
      <c r="P648" s="1" t="str">
        <f>INT(L648)&amp;"°"&amp;INT(MOD(L648,1)*60)&amp;"'"&amp;
ROUND(MOD(MOD(L648,1)*60,1)*60,1)&amp;"""E"</f>
        <v>106°49'26.6"E</v>
      </c>
      <c r="Q648" s="1" t="str">
        <f>O648 &amp; " " &amp; P648</f>
        <v>21°53'18.4"N 106°49'26.6"E</v>
      </c>
    </row>
    <row r="649" spans="1:17" ht="15.75" customHeight="1" x14ac:dyDescent="0.2">
      <c r="A649" s="1">
        <v>393</v>
      </c>
      <c r="B649" s="1" t="s">
        <v>1437</v>
      </c>
      <c r="C649" s="1" t="s">
        <v>15</v>
      </c>
      <c r="D649" s="1" t="s">
        <v>16</v>
      </c>
      <c r="E649" s="1" t="s">
        <v>1413</v>
      </c>
      <c r="F649" s="1" t="s">
        <v>1414</v>
      </c>
      <c r="G649" s="1" t="s">
        <v>1438</v>
      </c>
      <c r="H649" s="1" t="s">
        <v>1439</v>
      </c>
      <c r="I649" s="1" t="s">
        <v>21</v>
      </c>
      <c r="J649" s="1" t="s">
        <v>22</v>
      </c>
      <c r="K649" s="2">
        <v>21.89341203</v>
      </c>
      <c r="L649" s="2">
        <v>103.83810027</v>
      </c>
      <c r="M649" s="1" t="s">
        <v>1440</v>
      </c>
      <c r="N649" s="1" t="s">
        <v>1414</v>
      </c>
      <c r="O649" s="1" t="str">
        <f>INT(K649)&amp;"°"&amp;INT(MOD(K649,1)*60)&amp;"'"&amp;
ROUND(MOD(MOD(K649,1)*60,1)*60,1)&amp;"""N"</f>
        <v>21°53'36.3"N</v>
      </c>
      <c r="P649" s="1" t="str">
        <f>INT(L649)&amp;"°"&amp;INT(MOD(L649,1)*60)&amp;"'"&amp;
ROUND(MOD(MOD(L649,1)*60,1)*60,1)&amp;"""E"</f>
        <v>103°50'17.2"E</v>
      </c>
      <c r="Q649" s="1" t="str">
        <f>O649 &amp; " " &amp; P649</f>
        <v>21°53'36.3"N 103°50'17.2"E</v>
      </c>
    </row>
    <row r="650" spans="1:17" ht="15.75" customHeight="1" x14ac:dyDescent="0.2">
      <c r="A650" s="1">
        <v>169</v>
      </c>
      <c r="B650" s="1" t="s">
        <v>645</v>
      </c>
      <c r="C650" s="1" t="s">
        <v>15</v>
      </c>
      <c r="D650" s="1" t="s">
        <v>16</v>
      </c>
      <c r="E650" s="1" t="s">
        <v>624</v>
      </c>
      <c r="F650" s="1" t="s">
        <v>625</v>
      </c>
      <c r="G650" s="1" t="s">
        <v>646</v>
      </c>
      <c r="H650" s="1" t="s">
        <v>647</v>
      </c>
      <c r="I650" s="1" t="s">
        <v>21</v>
      </c>
      <c r="J650" s="1" t="s">
        <v>22</v>
      </c>
      <c r="K650" s="2">
        <v>21.895044680000002</v>
      </c>
      <c r="L650" s="2">
        <v>102.8002528</v>
      </c>
      <c r="M650" s="1" t="s">
        <v>639</v>
      </c>
      <c r="N650" s="1" t="s">
        <v>625</v>
      </c>
      <c r="O650" s="1" t="str">
        <f>INT(K650)&amp;"°"&amp;INT(MOD(K650,1)*60)&amp;"'"&amp;
ROUND(MOD(MOD(K650,1)*60,1)*60,1)&amp;"""N"</f>
        <v>21°53'42.2"N</v>
      </c>
      <c r="P650" s="1" t="str">
        <f>INT(L650)&amp;"°"&amp;INT(MOD(L650,1)*60)&amp;"'"&amp;
ROUND(MOD(MOD(L650,1)*60,1)*60,1)&amp;"""E"</f>
        <v>102°48'0.9"E</v>
      </c>
      <c r="Q650" s="1" t="str">
        <f>O650 &amp; " " &amp; P650</f>
        <v>21°53'42.2"N 102°48'0.9"E</v>
      </c>
    </row>
    <row r="651" spans="1:17" ht="15.75" customHeight="1" x14ac:dyDescent="0.2">
      <c r="A651" s="1">
        <v>614</v>
      </c>
      <c r="B651" s="1" t="s">
        <v>2220</v>
      </c>
      <c r="C651" s="1" t="s">
        <v>15</v>
      </c>
      <c r="D651" s="1" t="s">
        <v>16</v>
      </c>
      <c r="E651" s="1" t="s">
        <v>2217</v>
      </c>
      <c r="F651" s="1" t="s">
        <v>139</v>
      </c>
      <c r="G651" s="1" t="s">
        <v>2221</v>
      </c>
      <c r="H651" s="1" t="s">
        <v>2222</v>
      </c>
      <c r="I651" s="1" t="s">
        <v>21</v>
      </c>
      <c r="J651" s="1" t="s">
        <v>22</v>
      </c>
      <c r="K651" s="2">
        <v>21.900515930000001</v>
      </c>
      <c r="L651" s="2">
        <v>105.62977164</v>
      </c>
      <c r="M651" s="1" t="s">
        <v>1728</v>
      </c>
      <c r="N651" s="1" t="s">
        <v>139</v>
      </c>
      <c r="O651" s="1" t="str">
        <f>INT(K651)&amp;"°"&amp;INT(MOD(K651,1)*60)&amp;"'"&amp;
ROUND(MOD(MOD(K651,1)*60,1)*60,1)&amp;"""N"</f>
        <v>21°54'1.9"N</v>
      </c>
      <c r="P651" s="1" t="str">
        <f>INT(L651)&amp;"°"&amp;INT(MOD(L651,1)*60)&amp;"'"&amp;
ROUND(MOD(MOD(L651,1)*60,1)*60,1)&amp;"""E"</f>
        <v>105°37'47.2"E</v>
      </c>
      <c r="Q651" s="1" t="str">
        <f>O651 &amp; " " &amp; P651</f>
        <v>21°54'1.9"N 105°37'47.2"E</v>
      </c>
    </row>
    <row r="652" spans="1:17" ht="15.75" customHeight="1" x14ac:dyDescent="0.2">
      <c r="A652" s="1">
        <v>708</v>
      </c>
      <c r="B652" s="1" t="s">
        <v>2552</v>
      </c>
      <c r="C652" s="1" t="s">
        <v>15</v>
      </c>
      <c r="D652" s="1" t="s">
        <v>16</v>
      </c>
      <c r="E652" s="1" t="s">
        <v>2530</v>
      </c>
      <c r="F652" s="1" t="s">
        <v>2531</v>
      </c>
      <c r="G652" s="1" t="s">
        <v>2553</v>
      </c>
      <c r="H652" s="1" t="s">
        <v>2554</v>
      </c>
      <c r="I652" s="1" t="s">
        <v>21</v>
      </c>
      <c r="J652" s="1" t="s">
        <v>22</v>
      </c>
      <c r="K652" s="2">
        <v>21.907334970000001</v>
      </c>
      <c r="L652" s="2">
        <v>104.55230103</v>
      </c>
      <c r="M652" s="1" t="s">
        <v>2555</v>
      </c>
      <c r="N652" s="1" t="s">
        <v>1529</v>
      </c>
      <c r="O652" s="1" t="str">
        <f>INT(K652)&amp;"°"&amp;INT(MOD(K652,1)*60)&amp;"'"&amp;
ROUND(MOD(MOD(K652,1)*60,1)*60,1)&amp;"""N"</f>
        <v>21°54'26.4"N</v>
      </c>
      <c r="P652" s="1" t="str">
        <f>INT(L652)&amp;"°"&amp;INT(MOD(L652,1)*60)&amp;"'"&amp;
ROUND(MOD(MOD(L652,1)*60,1)*60,1)&amp;"""E"</f>
        <v>104°33'8.3"E</v>
      </c>
      <c r="Q652" s="1" t="str">
        <f>O652 &amp; " " &amp; P652</f>
        <v>21°54'26.4"N 104°33'8.3"E</v>
      </c>
    </row>
    <row r="653" spans="1:17" ht="15.75" customHeight="1" x14ac:dyDescent="0.2">
      <c r="A653" s="1">
        <v>171</v>
      </c>
      <c r="B653" s="1" t="s">
        <v>652</v>
      </c>
      <c r="C653" s="1" t="s">
        <v>15</v>
      </c>
      <c r="D653" s="1" t="s">
        <v>16</v>
      </c>
      <c r="E653" s="1" t="s">
        <v>624</v>
      </c>
      <c r="F653" s="1" t="s">
        <v>625</v>
      </c>
      <c r="G653" s="1" t="s">
        <v>653</v>
      </c>
      <c r="H653" s="1" t="s">
        <v>654</v>
      </c>
      <c r="I653" s="1" t="s">
        <v>21</v>
      </c>
      <c r="J653" s="1" t="s">
        <v>22</v>
      </c>
      <c r="K653" s="2">
        <v>21.96658575</v>
      </c>
      <c r="L653" s="2">
        <v>103.37186699</v>
      </c>
      <c r="M653" s="1" t="s">
        <v>655</v>
      </c>
      <c r="N653" s="1" t="s">
        <v>625</v>
      </c>
      <c r="O653" s="1" t="str">
        <f>INT(K653)&amp;"°"&amp;INT(MOD(K653,1)*60)&amp;"'"&amp;
ROUND(MOD(MOD(K653,1)*60,1)*60,1)&amp;"""N"</f>
        <v>21°57'59.7"N</v>
      </c>
      <c r="P653" s="1" t="str">
        <f>INT(L653)&amp;"°"&amp;INT(MOD(L653,1)*60)&amp;"'"&amp;
ROUND(MOD(MOD(L653,1)*60,1)*60,1)&amp;"""E"</f>
        <v>103°22'18.7"E</v>
      </c>
      <c r="Q653" s="1" t="str">
        <f>O653 &amp; " " &amp; P653</f>
        <v>21°57'59.7"N 103°22'18.7"E</v>
      </c>
    </row>
    <row r="654" spans="1:17" ht="15.75" customHeight="1" x14ac:dyDescent="0.2">
      <c r="A654" s="1">
        <v>32</v>
      </c>
      <c r="B654" s="1" t="s">
        <v>147</v>
      </c>
      <c r="C654" s="1" t="s">
        <v>15</v>
      </c>
      <c r="D654" s="1" t="s">
        <v>16</v>
      </c>
      <c r="E654" s="1" t="s">
        <v>134</v>
      </c>
      <c r="F654" s="1" t="s">
        <v>135</v>
      </c>
      <c r="G654" s="1" t="s">
        <v>39</v>
      </c>
      <c r="H654" s="1" t="s">
        <v>40</v>
      </c>
      <c r="I654" s="1" t="s">
        <v>21</v>
      </c>
      <c r="J654" s="1" t="s">
        <v>22</v>
      </c>
      <c r="K654" s="2">
        <v>21.983375259999999</v>
      </c>
      <c r="L654" s="2">
        <v>105.84967107999999</v>
      </c>
      <c r="M654" s="1" t="s">
        <v>148</v>
      </c>
      <c r="N654" s="1" t="s">
        <v>139</v>
      </c>
      <c r="O654" s="1" t="str">
        <f>INT(K654)&amp;"°"&amp;INT(MOD(K654,1)*60)&amp;"'"&amp;
ROUND(MOD(MOD(K654,1)*60,1)*60,1)&amp;"""N"</f>
        <v>21°59'0.2"N</v>
      </c>
      <c r="P654" s="1" t="str">
        <f>INT(L654)&amp;"°"&amp;INT(MOD(L654,1)*60)&amp;"'"&amp;
ROUND(MOD(MOD(L654,1)*60,1)*60,1)&amp;"""E"</f>
        <v>105°50'58.8"E</v>
      </c>
      <c r="Q654" s="1" t="str">
        <f>O654 &amp; " " &amp; P654</f>
        <v>21°59'0.2"N 105°50'58.8"E</v>
      </c>
    </row>
    <row r="655" spans="1:17" ht="15.75" customHeight="1" x14ac:dyDescent="0.2">
      <c r="A655" s="1">
        <v>170</v>
      </c>
      <c r="B655" s="1" t="s">
        <v>648</v>
      </c>
      <c r="C655" s="1" t="s">
        <v>15</v>
      </c>
      <c r="D655" s="1" t="s">
        <v>16</v>
      </c>
      <c r="E655" s="1" t="s">
        <v>624</v>
      </c>
      <c r="F655" s="1" t="s">
        <v>625</v>
      </c>
      <c r="G655" s="1" t="s">
        <v>649</v>
      </c>
      <c r="H655" s="1" t="s">
        <v>650</v>
      </c>
      <c r="I655" s="1" t="s">
        <v>53</v>
      </c>
      <c r="J655" s="1" t="s">
        <v>54</v>
      </c>
      <c r="K655" s="2">
        <v>22.032413630000001</v>
      </c>
      <c r="L655" s="2">
        <v>103.13077179</v>
      </c>
      <c r="M655" s="1" t="s">
        <v>651</v>
      </c>
      <c r="N655" s="1" t="s">
        <v>625</v>
      </c>
      <c r="O655" s="1" t="str">
        <f>INT(K655)&amp;"°"&amp;INT(MOD(K655,1)*60)&amp;"'"&amp;
ROUND(MOD(MOD(K655,1)*60,1)*60,1)&amp;"""N"</f>
        <v>22°1'56.7"N</v>
      </c>
      <c r="P655" s="1" t="str">
        <f>INT(L655)&amp;"°"&amp;INT(MOD(L655,1)*60)&amp;"'"&amp;
ROUND(MOD(MOD(L655,1)*60,1)*60,1)&amp;"""E"</f>
        <v>103°7'50.8"E</v>
      </c>
      <c r="Q655" s="1" t="str">
        <f>O655 &amp; " " &amp; P655</f>
        <v>22°1'56.7"N 103°7'50.8"E</v>
      </c>
    </row>
    <row r="656" spans="1:17" ht="15.75" customHeight="1" x14ac:dyDescent="0.2">
      <c r="A656" s="1">
        <v>425</v>
      </c>
      <c r="B656" s="1" t="s">
        <v>1555</v>
      </c>
      <c r="C656" s="1" t="s">
        <v>15</v>
      </c>
      <c r="D656" s="1" t="s">
        <v>16</v>
      </c>
      <c r="E656" s="1" t="s">
        <v>1528</v>
      </c>
      <c r="F656" s="1" t="s">
        <v>1529</v>
      </c>
      <c r="G656" s="1" t="s">
        <v>1556</v>
      </c>
      <c r="H656" s="1" t="s">
        <v>1557</v>
      </c>
      <c r="I656" s="1" t="s">
        <v>21</v>
      </c>
      <c r="J656" s="1" t="s">
        <v>22</v>
      </c>
      <c r="K656" s="2">
        <v>22.05241973</v>
      </c>
      <c r="L656" s="2">
        <v>104.18836880000001</v>
      </c>
      <c r="M656" s="1" t="s">
        <v>1556</v>
      </c>
      <c r="N656" s="1" t="s">
        <v>1529</v>
      </c>
      <c r="O656" s="1" t="str">
        <f>INT(K656)&amp;"°"&amp;INT(MOD(K656,1)*60)&amp;"'"&amp;
ROUND(MOD(MOD(K656,1)*60,1)*60,1)&amp;"""N"</f>
        <v>22°3'8.7"N</v>
      </c>
      <c r="P656" s="1" t="str">
        <f>INT(L656)&amp;"°"&amp;INT(MOD(L656,1)*60)&amp;"'"&amp;
ROUND(MOD(MOD(L656,1)*60,1)*60,1)&amp;"""E"</f>
        <v>104°11'18.1"E</v>
      </c>
      <c r="Q656" s="1" t="str">
        <f>O656 &amp; " " &amp; P656</f>
        <v>22°3'8.7"N 104°11'18.1"E</v>
      </c>
    </row>
    <row r="657" spans="1:17" ht="15.75" customHeight="1" x14ac:dyDescent="0.2">
      <c r="A657" s="1">
        <v>415</v>
      </c>
      <c r="B657" s="1" t="s">
        <v>1520</v>
      </c>
      <c r="C657" s="1" t="s">
        <v>15</v>
      </c>
      <c r="D657" s="1" t="s">
        <v>16</v>
      </c>
      <c r="E657" s="1" t="s">
        <v>1485</v>
      </c>
      <c r="F657" s="1" t="s">
        <v>1486</v>
      </c>
      <c r="G657" s="1" t="s">
        <v>1521</v>
      </c>
      <c r="H657" s="1" t="s">
        <v>1522</v>
      </c>
      <c r="I657" s="1" t="s">
        <v>21</v>
      </c>
      <c r="J657" s="1" t="s">
        <v>22</v>
      </c>
      <c r="K657" s="2">
        <v>22.05610879</v>
      </c>
      <c r="L657" s="2">
        <v>106.58463586000001</v>
      </c>
      <c r="M657" s="1" t="s">
        <v>1521</v>
      </c>
      <c r="N657" s="1" t="s">
        <v>1486</v>
      </c>
      <c r="O657" s="1" t="str">
        <f>INT(K657)&amp;"°"&amp;INT(MOD(K657,1)*60)&amp;"'"&amp;
ROUND(MOD(MOD(K657,1)*60,1)*60,1)&amp;"""N"</f>
        <v>22°3'22"N</v>
      </c>
      <c r="P657" s="1" t="str">
        <f>INT(L657)&amp;"°"&amp;INT(MOD(L657,1)*60)&amp;"'"&amp;
ROUND(MOD(MOD(L657,1)*60,1)*60,1)&amp;"""E"</f>
        <v>106°35'4.7"E</v>
      </c>
      <c r="Q657" s="1" t="str">
        <f>O657 &amp; " " &amp; P657</f>
        <v>22°3'22"N 106°35'4.7"E</v>
      </c>
    </row>
    <row r="658" spans="1:17" ht="15.75" customHeight="1" x14ac:dyDescent="0.2">
      <c r="A658" s="1">
        <v>407</v>
      </c>
      <c r="B658" s="1" t="s">
        <v>1490</v>
      </c>
      <c r="C658" s="1" t="s">
        <v>15</v>
      </c>
      <c r="D658" s="1" t="s">
        <v>16</v>
      </c>
      <c r="E658" s="1" t="s">
        <v>1485</v>
      </c>
      <c r="F658" s="1" t="s">
        <v>1486</v>
      </c>
      <c r="G658" s="1" t="s">
        <v>1491</v>
      </c>
      <c r="H658" s="1" t="s">
        <v>1492</v>
      </c>
      <c r="I658" s="1" t="s">
        <v>21</v>
      </c>
      <c r="J658" s="1" t="s">
        <v>22</v>
      </c>
      <c r="K658" s="2">
        <v>22.05691221</v>
      </c>
      <c r="L658" s="2">
        <v>106.30849125</v>
      </c>
      <c r="M658" s="1" t="s">
        <v>1493</v>
      </c>
      <c r="N658" s="1" t="s">
        <v>1486</v>
      </c>
      <c r="O658" s="1" t="str">
        <f>INT(K658)&amp;"°"&amp;INT(MOD(K658,1)*60)&amp;"'"&amp;
ROUND(MOD(MOD(K658,1)*60,1)*60,1)&amp;"""N"</f>
        <v>22°3'24.9"N</v>
      </c>
      <c r="P658" s="1" t="str">
        <f>INT(L658)&amp;"°"&amp;INT(MOD(L658,1)*60)&amp;"'"&amp;
ROUND(MOD(MOD(L658,1)*60,1)*60,1)&amp;"""E"</f>
        <v>106°18'30.6"E</v>
      </c>
      <c r="Q658" s="1" t="str">
        <f>O658 &amp; " " &amp; P658</f>
        <v>22°3'24.9"N 106°18'30.6"E</v>
      </c>
    </row>
    <row r="659" spans="1:17" ht="15.75" customHeight="1" x14ac:dyDescent="0.2">
      <c r="A659" s="1">
        <v>702</v>
      </c>
      <c r="B659" s="1" t="s">
        <v>2529</v>
      </c>
      <c r="C659" s="1" t="s">
        <v>15</v>
      </c>
      <c r="D659" s="1" t="s">
        <v>16</v>
      </c>
      <c r="E659" s="1" t="s">
        <v>2530</v>
      </c>
      <c r="F659" s="1" t="s">
        <v>2531</v>
      </c>
      <c r="G659" s="1" t="s">
        <v>2532</v>
      </c>
      <c r="H659" s="1" t="s">
        <v>2533</v>
      </c>
      <c r="I659" s="1" t="s">
        <v>21</v>
      </c>
      <c r="J659" s="1" t="s">
        <v>22</v>
      </c>
      <c r="K659" s="2">
        <v>22.09832858</v>
      </c>
      <c r="L659" s="2">
        <v>104.72147289</v>
      </c>
      <c r="M659" s="1" t="s">
        <v>2534</v>
      </c>
      <c r="N659" s="1" t="s">
        <v>1529</v>
      </c>
      <c r="O659" s="1" t="str">
        <f>INT(K659)&amp;"°"&amp;INT(MOD(K659,1)*60)&amp;"'"&amp;
ROUND(MOD(MOD(K659,1)*60,1)*60,1)&amp;"""N"</f>
        <v>22°5'54"N</v>
      </c>
      <c r="P659" s="1" t="str">
        <f>INT(L659)&amp;"°"&amp;INT(MOD(L659,1)*60)&amp;"'"&amp;
ROUND(MOD(MOD(L659,1)*60,1)*60,1)&amp;"""E"</f>
        <v>104°43'17.3"E</v>
      </c>
      <c r="Q659" s="1" t="str">
        <f>O659 &amp; " " &amp; P659</f>
        <v>22°5'54"N 104°43'17.3"E</v>
      </c>
    </row>
    <row r="660" spans="1:17" ht="15.75" customHeight="1" x14ac:dyDescent="0.2">
      <c r="A660" s="1">
        <v>679</v>
      </c>
      <c r="B660" s="1" t="s">
        <v>2450</v>
      </c>
      <c r="C660" s="1" t="s">
        <v>15</v>
      </c>
      <c r="D660" s="1" t="s">
        <v>16</v>
      </c>
      <c r="E660" s="1" t="s">
        <v>2446</v>
      </c>
      <c r="F660" s="1" t="s">
        <v>803</v>
      </c>
      <c r="G660" s="1" t="s">
        <v>2451</v>
      </c>
      <c r="H660" s="1" t="s">
        <v>2452</v>
      </c>
      <c r="I660" s="1" t="s">
        <v>21</v>
      </c>
      <c r="J660" s="1" t="s">
        <v>22</v>
      </c>
      <c r="K660" s="2">
        <v>22.10083654</v>
      </c>
      <c r="L660" s="2">
        <v>105.01681195</v>
      </c>
      <c r="M660" s="1" t="s">
        <v>1241</v>
      </c>
      <c r="N660" s="1" t="s">
        <v>803</v>
      </c>
      <c r="O660" s="1" t="str">
        <f>INT(K660)&amp;"°"&amp;INT(MOD(K660,1)*60)&amp;"'"&amp;
ROUND(MOD(MOD(K660,1)*60,1)*60,1)&amp;"""N"</f>
        <v>22°6'3"N</v>
      </c>
      <c r="P660" s="1" t="str">
        <f>INT(L660)&amp;"°"&amp;INT(MOD(L660,1)*60)&amp;"'"&amp;
ROUND(MOD(MOD(L660,1)*60,1)*60,1)&amp;"""E"</f>
        <v>105°1'0.5"E</v>
      </c>
      <c r="Q660" s="1" t="str">
        <f>O660 &amp; " " &amp; P660</f>
        <v>22°6'3"N 105°1'0.5"E</v>
      </c>
    </row>
    <row r="661" spans="1:17" ht="15.75" customHeight="1" x14ac:dyDescent="0.2">
      <c r="A661" s="1">
        <v>392</v>
      </c>
      <c r="B661" s="1" t="s">
        <v>1436</v>
      </c>
      <c r="C661" s="1" t="s">
        <v>15</v>
      </c>
      <c r="D661" s="1" t="s">
        <v>16</v>
      </c>
      <c r="E661" s="1" t="s">
        <v>1413</v>
      </c>
      <c r="F661" s="1" t="s">
        <v>1414</v>
      </c>
      <c r="G661" s="1" t="s">
        <v>314</v>
      </c>
      <c r="H661" s="1" t="s">
        <v>315</v>
      </c>
      <c r="I661" s="1" t="s">
        <v>21</v>
      </c>
      <c r="J661" s="1" t="s">
        <v>22</v>
      </c>
      <c r="K661" s="2">
        <v>22.121891309999999</v>
      </c>
      <c r="L661" s="2">
        <v>103.73241759</v>
      </c>
      <c r="M661" s="1" t="s">
        <v>314</v>
      </c>
      <c r="N661" s="1" t="s">
        <v>1414</v>
      </c>
      <c r="O661" s="1" t="str">
        <f>INT(K661)&amp;"°"&amp;INT(MOD(K661,1)*60)&amp;"'"&amp;
ROUND(MOD(MOD(K661,1)*60,1)*60,1)&amp;"""N"</f>
        <v>22°7'18.8"N</v>
      </c>
      <c r="P661" s="1" t="str">
        <f>INT(L661)&amp;"°"&amp;INT(MOD(L661,1)*60)&amp;"'"&amp;
ROUND(MOD(MOD(L661,1)*60,1)*60,1)&amp;"""E"</f>
        <v>103°43'56.7"E</v>
      </c>
      <c r="Q661" s="1" t="str">
        <f>O661 &amp; " " &amp; P661</f>
        <v>22°7'18.8"N 103°43'56.7"E</v>
      </c>
    </row>
    <row r="662" spans="1:17" ht="15.75" customHeight="1" x14ac:dyDescent="0.2">
      <c r="A662" s="1">
        <v>36</v>
      </c>
      <c r="B662" s="1" t="s">
        <v>160</v>
      </c>
      <c r="C662" s="1" t="s">
        <v>15</v>
      </c>
      <c r="D662" s="1" t="s">
        <v>16</v>
      </c>
      <c r="E662" s="1" t="s">
        <v>134</v>
      </c>
      <c r="F662" s="1" t="s">
        <v>135</v>
      </c>
      <c r="G662" s="1" t="s">
        <v>161</v>
      </c>
      <c r="H662" s="1" t="s">
        <v>162</v>
      </c>
      <c r="I662" s="1" t="s">
        <v>27</v>
      </c>
      <c r="J662" s="1" t="s">
        <v>28</v>
      </c>
      <c r="K662" s="2">
        <v>22.134106030000002</v>
      </c>
      <c r="L662" s="2">
        <v>105.84668198999999</v>
      </c>
      <c r="M662" s="1" t="s">
        <v>163</v>
      </c>
      <c r="N662" s="1" t="s">
        <v>139</v>
      </c>
      <c r="O662" s="1" t="str">
        <f>INT(K662)&amp;"°"&amp;INT(MOD(K662,1)*60)&amp;"'"&amp;
ROUND(MOD(MOD(K662,1)*60,1)*60,1)&amp;"""N"</f>
        <v>22°8'2.8"N</v>
      </c>
      <c r="P662" s="1" t="str">
        <f>INT(L662)&amp;"°"&amp;INT(MOD(L662,1)*60)&amp;"'"&amp;
ROUND(MOD(MOD(L662,1)*60,1)*60,1)&amp;"""E"</f>
        <v>105°50'48.1"E</v>
      </c>
      <c r="Q662" s="1" t="str">
        <f>O662 &amp; " " &amp; P662</f>
        <v>22°8'2.8"N 105°50'48.1"E</v>
      </c>
    </row>
    <row r="663" spans="1:17" ht="15.75" customHeight="1" x14ac:dyDescent="0.2">
      <c r="A663" s="1">
        <v>33</v>
      </c>
      <c r="B663" s="1" t="s">
        <v>149</v>
      </c>
      <c r="C663" s="1" t="s">
        <v>15</v>
      </c>
      <c r="D663" s="1" t="s">
        <v>16</v>
      </c>
      <c r="E663" s="1" t="s">
        <v>134</v>
      </c>
      <c r="F663" s="1" t="s">
        <v>135</v>
      </c>
      <c r="G663" s="1" t="s">
        <v>150</v>
      </c>
      <c r="H663" s="1" t="s">
        <v>151</v>
      </c>
      <c r="I663" s="1" t="s">
        <v>21</v>
      </c>
      <c r="J663" s="1" t="s">
        <v>22</v>
      </c>
      <c r="K663" s="2">
        <v>22.165466389999999</v>
      </c>
      <c r="L663" s="2">
        <v>106.09071625999999</v>
      </c>
      <c r="M663" s="1" t="s">
        <v>152</v>
      </c>
      <c r="N663" s="1" t="s">
        <v>139</v>
      </c>
      <c r="O663" s="1" t="str">
        <f>INT(K663)&amp;"°"&amp;INT(MOD(K663,1)*60)&amp;"'"&amp;
ROUND(MOD(MOD(K663,1)*60,1)*60,1)&amp;"""N"</f>
        <v>22°9'55.7"N</v>
      </c>
      <c r="P663" s="1" t="str">
        <f>INT(L663)&amp;"°"&amp;INT(MOD(L663,1)*60)&amp;"'"&amp;
ROUND(MOD(MOD(L663,1)*60,1)*60,1)&amp;"""E"</f>
        <v>106°5'26.6"E</v>
      </c>
      <c r="Q663" s="1" t="str">
        <f>O663 &amp; " " &amp; P663</f>
        <v>22°9'55.7"N 106°5'26.6"E</v>
      </c>
    </row>
    <row r="664" spans="1:17" ht="15.75" customHeight="1" x14ac:dyDescent="0.2">
      <c r="A664" s="1">
        <v>678</v>
      </c>
      <c r="B664" s="1" t="s">
        <v>2445</v>
      </c>
      <c r="C664" s="1" t="s">
        <v>15</v>
      </c>
      <c r="D664" s="1" t="s">
        <v>16</v>
      </c>
      <c r="E664" s="1" t="s">
        <v>2446</v>
      </c>
      <c r="F664" s="1" t="s">
        <v>803</v>
      </c>
      <c r="G664" s="1" t="s">
        <v>2447</v>
      </c>
      <c r="H664" s="1" t="s">
        <v>2448</v>
      </c>
      <c r="I664" s="1" t="s">
        <v>21</v>
      </c>
      <c r="J664" s="1" t="s">
        <v>22</v>
      </c>
      <c r="K664" s="2">
        <v>22.173992200000001</v>
      </c>
      <c r="L664" s="2">
        <v>105.2704847</v>
      </c>
      <c r="M664" s="1" t="s">
        <v>2449</v>
      </c>
      <c r="N664" s="1" t="s">
        <v>803</v>
      </c>
      <c r="O664" s="1" t="str">
        <f>INT(K664)&amp;"°"&amp;INT(MOD(K664,1)*60)&amp;"'"&amp;
ROUND(MOD(MOD(K664,1)*60,1)*60,1)&amp;"""N"</f>
        <v>22°10'26.4"N</v>
      </c>
      <c r="P664" s="1" t="str">
        <f>INT(L664)&amp;"°"&amp;INT(MOD(L664,1)*60)&amp;"'"&amp;
ROUND(MOD(MOD(L664,1)*60,1)*60,1)&amp;"""E"</f>
        <v>105°16'13.7"E</v>
      </c>
      <c r="Q664" s="1" t="str">
        <f>O664 &amp; " " &amp; P664</f>
        <v>22°10'26.4"N 105°16'13.7"E</v>
      </c>
    </row>
    <row r="665" spans="1:17" ht="15.75" customHeight="1" x14ac:dyDescent="0.2">
      <c r="A665" s="1">
        <v>31</v>
      </c>
      <c r="B665" s="1" t="s">
        <v>144</v>
      </c>
      <c r="C665" s="1" t="s">
        <v>15</v>
      </c>
      <c r="D665" s="1" t="s">
        <v>16</v>
      </c>
      <c r="E665" s="1" t="s">
        <v>134</v>
      </c>
      <c r="F665" s="1" t="s">
        <v>135</v>
      </c>
      <c r="G665" s="1" t="s">
        <v>145</v>
      </c>
      <c r="H665" s="1" t="s">
        <v>146</v>
      </c>
      <c r="I665" s="1" t="s">
        <v>21</v>
      </c>
      <c r="J665" s="1" t="s">
        <v>22</v>
      </c>
      <c r="K665" s="2">
        <v>22.187290820000001</v>
      </c>
      <c r="L665" s="2">
        <v>105.57414021</v>
      </c>
      <c r="M665" s="1" t="s">
        <v>145</v>
      </c>
      <c r="N665" s="1" t="s">
        <v>139</v>
      </c>
      <c r="O665" s="1" t="str">
        <f>INT(K665)&amp;"°"&amp;INT(MOD(K665,1)*60)&amp;"'"&amp;
ROUND(MOD(MOD(K665,1)*60,1)*60,1)&amp;"""N"</f>
        <v>22°11'14.2"N</v>
      </c>
      <c r="P665" s="1" t="str">
        <f>INT(L665)&amp;"°"&amp;INT(MOD(L665,1)*60)&amp;"'"&amp;
ROUND(MOD(MOD(L665,1)*60,1)*60,1)&amp;"""E"</f>
        <v>105°34'26.9"E</v>
      </c>
      <c r="Q665" s="1" t="str">
        <f>O665 &amp; " " &amp; P665</f>
        <v>22°11'14.2"N 105°34'26.9"E</v>
      </c>
    </row>
    <row r="666" spans="1:17" ht="15.75" customHeight="1" x14ac:dyDescent="0.2">
      <c r="A666" s="1">
        <v>30</v>
      </c>
      <c r="B666" s="1" t="s">
        <v>140</v>
      </c>
      <c r="C666" s="1" t="s">
        <v>15</v>
      </c>
      <c r="D666" s="1" t="s">
        <v>16</v>
      </c>
      <c r="E666" s="1" t="s">
        <v>134</v>
      </c>
      <c r="F666" s="1" t="s">
        <v>135</v>
      </c>
      <c r="G666" s="1" t="s">
        <v>141</v>
      </c>
      <c r="H666" s="1" t="s">
        <v>142</v>
      </c>
      <c r="I666" s="1" t="s">
        <v>21</v>
      </c>
      <c r="J666" s="1" t="s">
        <v>22</v>
      </c>
      <c r="K666" s="2">
        <v>22.20499547</v>
      </c>
      <c r="L666" s="2">
        <v>105.84566773</v>
      </c>
      <c r="M666" s="1" t="s">
        <v>143</v>
      </c>
      <c r="N666" s="1" t="s">
        <v>139</v>
      </c>
      <c r="O666" s="1" t="str">
        <f>INT(K666)&amp;"°"&amp;INT(MOD(K666,1)*60)&amp;"'"&amp;
ROUND(MOD(MOD(K666,1)*60,1)*60,1)&amp;"""N"</f>
        <v>22°12'18"N</v>
      </c>
      <c r="P666" s="1" t="str">
        <f>INT(L666)&amp;"°"&amp;INT(MOD(L666,1)*60)&amp;"'"&amp;
ROUND(MOD(MOD(L666,1)*60,1)*60,1)&amp;"""E"</f>
        <v>105°50'44.4"E</v>
      </c>
      <c r="Q666" s="1" t="str">
        <f>O666 &amp; " " &amp; P666</f>
        <v>22°12'18"N 105°50'44.4"E</v>
      </c>
    </row>
    <row r="667" spans="1:17" ht="15.75" customHeight="1" x14ac:dyDescent="0.2">
      <c r="A667" s="1">
        <v>168</v>
      </c>
      <c r="B667" s="1" t="s">
        <v>642</v>
      </c>
      <c r="C667" s="1" t="s">
        <v>15</v>
      </c>
      <c r="D667" s="1" t="s">
        <v>16</v>
      </c>
      <c r="E667" s="1" t="s">
        <v>624</v>
      </c>
      <c r="F667" s="1" t="s">
        <v>625</v>
      </c>
      <c r="G667" s="1" t="s">
        <v>643</v>
      </c>
      <c r="H667" s="1" t="s">
        <v>644</v>
      </c>
      <c r="I667" s="1" t="s">
        <v>21</v>
      </c>
      <c r="J667" s="1" t="s">
        <v>22</v>
      </c>
      <c r="K667" s="2">
        <v>22.234341409999999</v>
      </c>
      <c r="L667" s="2">
        <v>102.45221042999999</v>
      </c>
      <c r="M667" s="1" t="s">
        <v>643</v>
      </c>
      <c r="N667" s="1" t="s">
        <v>625</v>
      </c>
      <c r="O667" s="1" t="str">
        <f>INT(K667)&amp;"°"&amp;INT(MOD(K667,1)*60)&amp;"'"&amp;
ROUND(MOD(MOD(K667,1)*60,1)*60,1)&amp;"""N"</f>
        <v>22°14'3.6"N</v>
      </c>
      <c r="P667" s="1" t="str">
        <f>INT(L667)&amp;"°"&amp;INT(MOD(L667,1)*60)&amp;"'"&amp;
ROUND(MOD(MOD(L667,1)*60,1)*60,1)&amp;"""E"</f>
        <v>102°27'8"E</v>
      </c>
      <c r="Q667" s="1" t="str">
        <f>O667 &amp; " " &amp; P667</f>
        <v>22°14'3.6"N 102°27'8"E</v>
      </c>
    </row>
    <row r="668" spans="1:17" ht="15.75" customHeight="1" x14ac:dyDescent="0.2">
      <c r="A668" s="1">
        <v>388</v>
      </c>
      <c r="B668" s="1" t="s">
        <v>1420</v>
      </c>
      <c r="C668" s="1" t="s">
        <v>15</v>
      </c>
      <c r="D668" s="1" t="s">
        <v>16</v>
      </c>
      <c r="E668" s="1" t="s">
        <v>1413</v>
      </c>
      <c r="F668" s="1" t="s">
        <v>1414</v>
      </c>
      <c r="G668" s="1" t="s">
        <v>1421</v>
      </c>
      <c r="H668" s="1" t="s">
        <v>1422</v>
      </c>
      <c r="I668" s="1" t="s">
        <v>21</v>
      </c>
      <c r="J668" s="1" t="s">
        <v>22</v>
      </c>
      <c r="K668" s="2">
        <v>22.234937070000001</v>
      </c>
      <c r="L668" s="2">
        <v>103.0020447</v>
      </c>
      <c r="M668" s="1" t="s">
        <v>1423</v>
      </c>
      <c r="N668" s="1" t="s">
        <v>1414</v>
      </c>
      <c r="O668" s="1" t="str">
        <f>INT(K668)&amp;"°"&amp;INT(MOD(K668,1)*60)&amp;"'"&amp;
ROUND(MOD(MOD(K668,1)*60,1)*60,1)&amp;"""N"</f>
        <v>22°14'5.8"N</v>
      </c>
      <c r="P668" s="1" t="str">
        <f>INT(L668)&amp;"°"&amp;INT(MOD(L668,1)*60)&amp;"'"&amp;
ROUND(MOD(MOD(L668,1)*60,1)*60,1)&amp;"""E"</f>
        <v>103°0'7.4"E</v>
      </c>
      <c r="Q668" s="1" t="str">
        <f>O668 &amp; " " &amp; P668</f>
        <v>22°14'5.8"N 103°0'7.4"E</v>
      </c>
    </row>
    <row r="669" spans="1:17" ht="15.75" customHeight="1" x14ac:dyDescent="0.2">
      <c r="A669" s="1">
        <v>390</v>
      </c>
      <c r="B669" s="1" t="s">
        <v>1428</v>
      </c>
      <c r="C669" s="1" t="s">
        <v>15</v>
      </c>
      <c r="D669" s="1" t="s">
        <v>16</v>
      </c>
      <c r="E669" s="1" t="s">
        <v>1413</v>
      </c>
      <c r="F669" s="1" t="s">
        <v>1414</v>
      </c>
      <c r="G669" s="1" t="s">
        <v>1429</v>
      </c>
      <c r="H669" s="1" t="s">
        <v>1430</v>
      </c>
      <c r="I669" s="1" t="s">
        <v>21</v>
      </c>
      <c r="J669" s="1" t="s">
        <v>22</v>
      </c>
      <c r="K669" s="2">
        <v>22.257746999999998</v>
      </c>
      <c r="L669" s="2">
        <v>103.33274529000001</v>
      </c>
      <c r="M669" s="1" t="s">
        <v>1431</v>
      </c>
      <c r="N669" s="1" t="s">
        <v>1414</v>
      </c>
      <c r="O669" s="1" t="str">
        <f>INT(K669)&amp;"°"&amp;INT(MOD(K669,1)*60)&amp;"'"&amp;
ROUND(MOD(MOD(K669,1)*60,1)*60,1)&amp;"""N"</f>
        <v>22°15'27.9"N</v>
      </c>
      <c r="P669" s="1" t="str">
        <f>INT(L669)&amp;"°"&amp;INT(MOD(L669,1)*60)&amp;"'"&amp;
ROUND(MOD(MOD(L669,1)*60,1)*60,1)&amp;"""E"</f>
        <v>103°19'57.9"E</v>
      </c>
      <c r="Q669" s="1" t="str">
        <f>O669 &amp; " " &amp; P669</f>
        <v>22°15'27.9"N 103°19'57.9"E</v>
      </c>
    </row>
    <row r="670" spans="1:17" ht="15.75" customHeight="1" x14ac:dyDescent="0.2">
      <c r="A670" s="1">
        <v>419</v>
      </c>
      <c r="B670" s="1" t="s">
        <v>1535</v>
      </c>
      <c r="C670" s="1" t="s">
        <v>15</v>
      </c>
      <c r="D670" s="1" t="s">
        <v>16</v>
      </c>
      <c r="E670" s="1" t="s">
        <v>1528</v>
      </c>
      <c r="F670" s="1" t="s">
        <v>1529</v>
      </c>
      <c r="G670" s="1" t="s">
        <v>1536</v>
      </c>
      <c r="H670" s="1" t="s">
        <v>1537</v>
      </c>
      <c r="I670" s="1" t="s">
        <v>21</v>
      </c>
      <c r="J670" s="1" t="s">
        <v>22</v>
      </c>
      <c r="K670" s="2">
        <v>22.27336154</v>
      </c>
      <c r="L670" s="2">
        <v>104.43949185</v>
      </c>
      <c r="M670" s="1" t="s">
        <v>1538</v>
      </c>
      <c r="N670" s="1" t="s">
        <v>1529</v>
      </c>
      <c r="O670" s="1" t="str">
        <f>INT(K670)&amp;"°"&amp;INT(MOD(K670,1)*60)&amp;"'"&amp;
ROUND(MOD(MOD(K670,1)*60,1)*60,1)&amp;"""N"</f>
        <v>22°16'24.1"N</v>
      </c>
      <c r="P670" s="1" t="str">
        <f>INT(L670)&amp;"°"&amp;INT(MOD(L670,1)*60)&amp;"'"&amp;
ROUND(MOD(MOD(L670,1)*60,1)*60,1)&amp;"""E"</f>
        <v>104°26'22.2"E</v>
      </c>
      <c r="Q670" s="1" t="str">
        <f>O670 &amp; " " &amp; P670</f>
        <v>22°16'24.1"N 104°26'22.2"E</v>
      </c>
    </row>
    <row r="671" spans="1:17" ht="15.75" customHeight="1" x14ac:dyDescent="0.2">
      <c r="A671" s="1">
        <v>423</v>
      </c>
      <c r="B671" s="1" t="s">
        <v>1550</v>
      </c>
      <c r="C671" s="1" t="s">
        <v>15</v>
      </c>
      <c r="D671" s="1" t="s">
        <v>16</v>
      </c>
      <c r="E671" s="1" t="s">
        <v>1528</v>
      </c>
      <c r="F671" s="1" t="s">
        <v>1529</v>
      </c>
      <c r="G671" s="1" t="s">
        <v>1551</v>
      </c>
      <c r="H671" s="1" t="s">
        <v>1551</v>
      </c>
      <c r="I671" s="1" t="s">
        <v>21</v>
      </c>
      <c r="J671" s="1" t="s">
        <v>22</v>
      </c>
      <c r="K671" s="2">
        <v>22.292672159999999</v>
      </c>
      <c r="L671" s="2">
        <v>103.91013589000001</v>
      </c>
      <c r="M671" s="1" t="s">
        <v>1552</v>
      </c>
      <c r="N671" s="1" t="s">
        <v>1529</v>
      </c>
      <c r="O671" s="1" t="str">
        <f>INT(K671)&amp;"°"&amp;INT(MOD(K671,1)*60)&amp;"'"&amp;
ROUND(MOD(MOD(K671,1)*60,1)*60,1)&amp;"""N"</f>
        <v>22°17'33.6"N</v>
      </c>
      <c r="P671" s="1" t="str">
        <f>INT(L671)&amp;"°"&amp;INT(MOD(L671,1)*60)&amp;"'"&amp;
ROUND(MOD(MOD(L671,1)*60,1)*60,1)&amp;"""E"</f>
        <v>103°54'36.5"E</v>
      </c>
      <c r="Q671" s="1" t="str">
        <f>O671 &amp; " " &amp; P671</f>
        <v>22°17'33.6"N 103°54'36.5"E</v>
      </c>
    </row>
    <row r="672" spans="1:17" ht="15.75" customHeight="1" x14ac:dyDescent="0.2">
      <c r="A672" s="1">
        <v>414</v>
      </c>
      <c r="B672" s="1" t="s">
        <v>1516</v>
      </c>
      <c r="C672" s="1" t="s">
        <v>15</v>
      </c>
      <c r="D672" s="1" t="s">
        <v>16</v>
      </c>
      <c r="E672" s="1" t="s">
        <v>1485</v>
      </c>
      <c r="F672" s="1" t="s">
        <v>1486</v>
      </c>
      <c r="G672" s="1" t="s">
        <v>1517</v>
      </c>
      <c r="H672" s="1" t="s">
        <v>1518</v>
      </c>
      <c r="I672" s="1" t="s">
        <v>21</v>
      </c>
      <c r="J672" s="1" t="s">
        <v>22</v>
      </c>
      <c r="K672" s="2">
        <v>22.293343400000001</v>
      </c>
      <c r="L672" s="2">
        <v>106.44788176</v>
      </c>
      <c r="M672" s="1" t="s">
        <v>1519</v>
      </c>
      <c r="N672" s="1" t="s">
        <v>1486</v>
      </c>
      <c r="O672" s="1" t="str">
        <f>INT(K672)&amp;"°"&amp;INT(MOD(K672,1)*60)&amp;"'"&amp;
ROUND(MOD(MOD(K672,1)*60,1)*60,1)&amp;"""N"</f>
        <v>22°17'36"N</v>
      </c>
      <c r="P672" s="1" t="str">
        <f>INT(L672)&amp;"°"&amp;INT(MOD(L672,1)*60)&amp;"'"&amp;
ROUND(MOD(MOD(L672,1)*60,1)*60,1)&amp;"""E"</f>
        <v>106°26'52.4"E</v>
      </c>
      <c r="Q672" s="1" t="str">
        <f>O672 &amp; " " &amp; P672</f>
        <v>22°17'36"N 106°26'52.4"E</v>
      </c>
    </row>
    <row r="673" spans="1:17" ht="15.75" customHeight="1" x14ac:dyDescent="0.2">
      <c r="A673" s="1">
        <v>391</v>
      </c>
      <c r="B673" s="1" t="s">
        <v>1432</v>
      </c>
      <c r="C673" s="1" t="s">
        <v>15</v>
      </c>
      <c r="D673" s="1" t="s">
        <v>16</v>
      </c>
      <c r="E673" s="1" t="s">
        <v>1413</v>
      </c>
      <c r="F673" s="1" t="s">
        <v>1414</v>
      </c>
      <c r="G673" s="1" t="s">
        <v>1433</v>
      </c>
      <c r="H673" s="1" t="s">
        <v>1434</v>
      </c>
      <c r="I673" s="1" t="s">
        <v>21</v>
      </c>
      <c r="J673" s="1" t="s">
        <v>22</v>
      </c>
      <c r="K673" s="2">
        <v>22.33832254</v>
      </c>
      <c r="L673" s="2">
        <v>103.59810448</v>
      </c>
      <c r="M673" s="1" t="s">
        <v>1435</v>
      </c>
      <c r="N673" s="1" t="s">
        <v>1414</v>
      </c>
      <c r="O673" s="1" t="str">
        <f>INT(K673)&amp;"°"&amp;INT(MOD(K673,1)*60)&amp;"'"&amp;
ROUND(MOD(MOD(K673,1)*60,1)*60,1)&amp;"""N"</f>
        <v>22°20'18"N</v>
      </c>
      <c r="P673" s="1" t="str">
        <f>INT(L673)&amp;"°"&amp;INT(MOD(L673,1)*60)&amp;"'"&amp;
ROUND(MOD(MOD(L673,1)*60,1)*60,1)&amp;"""E"</f>
        <v>103°35'53.2"E</v>
      </c>
      <c r="Q673" s="1" t="str">
        <f>O673 &amp; " " &amp; P673</f>
        <v>22°20'18"N 103°35'53.2"E</v>
      </c>
    </row>
    <row r="674" spans="1:17" ht="15.75" customHeight="1" x14ac:dyDescent="0.2">
      <c r="A674" s="1">
        <v>418</v>
      </c>
      <c r="B674" s="1" t="s">
        <v>1532</v>
      </c>
      <c r="C674" s="1" t="s">
        <v>15</v>
      </c>
      <c r="D674" s="1" t="s">
        <v>16</v>
      </c>
      <c r="E674" s="1" t="s">
        <v>1528</v>
      </c>
      <c r="F674" s="1" t="s">
        <v>1529</v>
      </c>
      <c r="G674" s="1" t="s">
        <v>1533</v>
      </c>
      <c r="H674" s="1" t="s">
        <v>1534</v>
      </c>
      <c r="I674" s="1" t="s">
        <v>21</v>
      </c>
      <c r="J674" s="1" t="s">
        <v>22</v>
      </c>
      <c r="K674" s="2">
        <v>22.373887629999999</v>
      </c>
      <c r="L674" s="2">
        <v>104.13881766</v>
      </c>
      <c r="M674" s="1" t="s">
        <v>1533</v>
      </c>
      <c r="N674" s="1" t="s">
        <v>1529</v>
      </c>
      <c r="O674" s="1" t="str">
        <f>INT(K674)&amp;"°"&amp;INT(MOD(K674,1)*60)&amp;"'"&amp;
ROUND(MOD(MOD(K674,1)*60,1)*60,1)&amp;"""N"</f>
        <v>22°22'26"N</v>
      </c>
      <c r="P674" s="1" t="str">
        <f>INT(L674)&amp;"°"&amp;INT(MOD(L674,1)*60)&amp;"'"&amp;
ROUND(MOD(MOD(L674,1)*60,1)*60,1)&amp;"""E"</f>
        <v>104°8'19.7"E</v>
      </c>
      <c r="Q674" s="1" t="str">
        <f>O674 &amp; " " &amp; P674</f>
        <v>22°22'26"N 104°8'19.7"E</v>
      </c>
    </row>
    <row r="675" spans="1:17" ht="15.75" customHeight="1" x14ac:dyDescent="0.2">
      <c r="A675" s="1">
        <v>386</v>
      </c>
      <c r="B675" s="1" t="s">
        <v>1412</v>
      </c>
      <c r="C675" s="1" t="s">
        <v>15</v>
      </c>
      <c r="D675" s="1" t="s">
        <v>16</v>
      </c>
      <c r="E675" s="1" t="s">
        <v>1413</v>
      </c>
      <c r="F675" s="1" t="s">
        <v>1414</v>
      </c>
      <c r="G675" s="1" t="s">
        <v>1414</v>
      </c>
      <c r="H675" s="1" t="s">
        <v>1415</v>
      </c>
      <c r="I675" s="1" t="s">
        <v>27</v>
      </c>
      <c r="J675" s="1" t="s">
        <v>28</v>
      </c>
      <c r="K675" s="2">
        <v>22.39214595</v>
      </c>
      <c r="L675" s="2">
        <v>103.44977598</v>
      </c>
      <c r="M675" s="1" t="s">
        <v>1416</v>
      </c>
      <c r="N675" s="1" t="s">
        <v>1414</v>
      </c>
      <c r="O675" s="1" t="str">
        <f>INT(K675)&amp;"°"&amp;INT(MOD(K675,1)*60)&amp;"'"&amp;
ROUND(MOD(MOD(K675,1)*60,1)*60,1)&amp;"""N"</f>
        <v>22°23'31.7"N</v>
      </c>
      <c r="P675" s="1" t="str">
        <f>INT(L675)&amp;"°"&amp;INT(MOD(L675,1)*60)&amp;"'"&amp;
ROUND(MOD(MOD(L675,1)*60,1)*60,1)&amp;"""E"</f>
        <v>103°26'59.2"E</v>
      </c>
      <c r="Q675" s="1" t="str">
        <f>O675 &amp; " " &amp; P675</f>
        <v>22°23'31.7"N 103°26'59.2"E</v>
      </c>
    </row>
    <row r="676" spans="1:17" ht="15.75" customHeight="1" x14ac:dyDescent="0.2">
      <c r="A676" s="1">
        <v>214</v>
      </c>
      <c r="B676" s="1" t="s">
        <v>804</v>
      </c>
      <c r="C676" s="1" t="s">
        <v>15</v>
      </c>
      <c r="D676" s="1" t="s">
        <v>16</v>
      </c>
      <c r="E676" s="1" t="s">
        <v>799</v>
      </c>
      <c r="F676" s="1" t="s">
        <v>800</v>
      </c>
      <c r="G676" s="1" t="s">
        <v>805</v>
      </c>
      <c r="H676" s="1" t="s">
        <v>806</v>
      </c>
      <c r="I676" s="1" t="s">
        <v>21</v>
      </c>
      <c r="J676" s="1" t="s">
        <v>22</v>
      </c>
      <c r="K676" s="2">
        <v>22.400851500000002</v>
      </c>
      <c r="L676" s="2">
        <v>104.90529664</v>
      </c>
      <c r="M676" s="1" t="s">
        <v>807</v>
      </c>
      <c r="N676" s="1" t="s">
        <v>803</v>
      </c>
      <c r="O676" s="1" t="str">
        <f>INT(K676)&amp;"°"&amp;INT(MOD(K676,1)*60)&amp;"'"&amp;
ROUND(MOD(MOD(K676,1)*60,1)*60,1)&amp;"""N"</f>
        <v>22°24'3.1"N</v>
      </c>
      <c r="P676" s="1" t="str">
        <f>INT(L676)&amp;"°"&amp;INT(MOD(L676,1)*60)&amp;"'"&amp;
ROUND(MOD(MOD(L676,1)*60,1)*60,1)&amp;"""E"</f>
        <v>104°54'19.1"E</v>
      </c>
      <c r="Q676" s="1" t="str">
        <f>O676 &amp; " " &amp; P676</f>
        <v>22°24'3.1"N 104°54'19.1"E</v>
      </c>
    </row>
    <row r="677" spans="1:17" ht="15.75" customHeight="1" x14ac:dyDescent="0.2">
      <c r="A677" s="1">
        <v>29</v>
      </c>
      <c r="B677" s="1" t="s">
        <v>133</v>
      </c>
      <c r="C677" s="1" t="s">
        <v>15</v>
      </c>
      <c r="D677" s="1" t="s">
        <v>16</v>
      </c>
      <c r="E677" s="1" t="s">
        <v>134</v>
      </c>
      <c r="F677" s="1" t="s">
        <v>135</v>
      </c>
      <c r="G677" s="1" t="s">
        <v>136</v>
      </c>
      <c r="H677" s="1" t="s">
        <v>137</v>
      </c>
      <c r="I677" s="1" t="s">
        <v>21</v>
      </c>
      <c r="J677" s="1" t="s">
        <v>22</v>
      </c>
      <c r="K677" s="2">
        <v>22.406463479999999</v>
      </c>
      <c r="L677" s="2">
        <v>105.74049951000001</v>
      </c>
      <c r="M677" s="1" t="s">
        <v>138</v>
      </c>
      <c r="N677" s="1" t="s">
        <v>139</v>
      </c>
      <c r="O677" s="1" t="str">
        <f>INT(K677)&amp;"°"&amp;INT(MOD(K677,1)*60)&amp;"'"&amp;
ROUND(MOD(MOD(K677,1)*60,1)*60,1)&amp;"""N"</f>
        <v>22°24'23.3"N</v>
      </c>
      <c r="P677" s="1" t="str">
        <f>INT(L677)&amp;"°"&amp;INT(MOD(L677,1)*60)&amp;"'"&amp;
ROUND(MOD(MOD(L677,1)*60,1)*60,1)&amp;"""E"</f>
        <v>105°44'25.8"E</v>
      </c>
      <c r="Q677" s="1" t="str">
        <f>O677 &amp; " " &amp; P677</f>
        <v>22°24'23.3"N 105°44'25.8"E</v>
      </c>
    </row>
    <row r="678" spans="1:17" ht="15.75" customHeight="1" x14ac:dyDescent="0.2">
      <c r="A678" s="1">
        <v>220</v>
      </c>
      <c r="B678" s="1" t="s">
        <v>824</v>
      </c>
      <c r="C678" s="1" t="s">
        <v>15</v>
      </c>
      <c r="D678" s="1" t="s">
        <v>16</v>
      </c>
      <c r="E678" s="1" t="s">
        <v>799</v>
      </c>
      <c r="F678" s="1" t="s">
        <v>800</v>
      </c>
      <c r="G678" s="1" t="s">
        <v>825</v>
      </c>
      <c r="H678" s="1" t="s">
        <v>826</v>
      </c>
      <c r="I678" s="1" t="s">
        <v>21</v>
      </c>
      <c r="J678" s="1" t="s">
        <v>22</v>
      </c>
      <c r="K678" s="2">
        <v>22.406811959999999</v>
      </c>
      <c r="L678" s="2">
        <v>104.65598393</v>
      </c>
      <c r="M678" s="1" t="s">
        <v>827</v>
      </c>
      <c r="N678" s="1" t="s">
        <v>803</v>
      </c>
      <c r="O678" s="1" t="str">
        <f>INT(K678)&amp;"°"&amp;INT(MOD(K678,1)*60)&amp;"'"&amp;
ROUND(MOD(MOD(K678,1)*60,1)*60,1)&amp;"""N"</f>
        <v>22°24'24.5"N</v>
      </c>
      <c r="P678" s="1" t="str">
        <f>INT(L678)&amp;"°"&amp;INT(MOD(L678,1)*60)&amp;"'"&amp;
ROUND(MOD(MOD(L678,1)*60,1)*60,1)&amp;"""E"</f>
        <v>104°39'21.5"E</v>
      </c>
      <c r="Q678" s="1" t="str">
        <f>O678 &amp; " " &amp; P678</f>
        <v>22°24'24.5"N 104°39'21.5"E</v>
      </c>
    </row>
    <row r="679" spans="1:17" ht="15.75" customHeight="1" x14ac:dyDescent="0.2">
      <c r="A679" s="1">
        <v>421</v>
      </c>
      <c r="B679" s="1" t="s">
        <v>1543</v>
      </c>
      <c r="C679" s="1" t="s">
        <v>15</v>
      </c>
      <c r="D679" s="1" t="s">
        <v>16</v>
      </c>
      <c r="E679" s="1" t="s">
        <v>1528</v>
      </c>
      <c r="F679" s="1" t="s">
        <v>1529</v>
      </c>
      <c r="G679" s="1" t="s">
        <v>1529</v>
      </c>
      <c r="H679" s="1" t="s">
        <v>1544</v>
      </c>
      <c r="I679" s="1" t="s">
        <v>27</v>
      </c>
      <c r="J679" s="1" t="s">
        <v>28</v>
      </c>
      <c r="K679" s="2">
        <v>22.41177149</v>
      </c>
      <c r="L679" s="2">
        <v>103.98025763</v>
      </c>
      <c r="M679" s="1" t="s">
        <v>1545</v>
      </c>
      <c r="N679" s="1" t="s">
        <v>1529</v>
      </c>
      <c r="O679" s="1" t="str">
        <f>INT(K679)&amp;"°"&amp;INT(MOD(K679,1)*60)&amp;"'"&amp;
ROUND(MOD(MOD(K679,1)*60,1)*60,1)&amp;"""N"</f>
        <v>22°24'42.4"N</v>
      </c>
      <c r="P679" s="1" t="str">
        <f>INT(L679)&amp;"°"&amp;INT(MOD(L679,1)*60)&amp;"'"&amp;
ROUND(MOD(MOD(L679,1)*60,1)*60,1)&amp;"""E"</f>
        <v>103°58'48.9"E</v>
      </c>
      <c r="Q679" s="1" t="str">
        <f>O679 &amp; " " &amp; P679</f>
        <v>22°24'42.4"N 103°58'48.9"E</v>
      </c>
    </row>
    <row r="680" spans="1:17" ht="15.75" customHeight="1" x14ac:dyDescent="0.2">
      <c r="A680" s="1">
        <v>34</v>
      </c>
      <c r="B680" s="1" t="s">
        <v>153</v>
      </c>
      <c r="C680" s="1" t="s">
        <v>15</v>
      </c>
      <c r="D680" s="1" t="s">
        <v>16</v>
      </c>
      <c r="E680" s="1" t="s">
        <v>134</v>
      </c>
      <c r="F680" s="1" t="s">
        <v>135</v>
      </c>
      <c r="G680" s="1" t="s">
        <v>154</v>
      </c>
      <c r="H680" s="1" t="s">
        <v>155</v>
      </c>
      <c r="I680" s="1" t="s">
        <v>21</v>
      </c>
      <c r="J680" s="1" t="s">
        <v>22</v>
      </c>
      <c r="K680" s="2">
        <v>22.4195587</v>
      </c>
      <c r="L680" s="2">
        <v>106.00255797</v>
      </c>
      <c r="M680" s="1" t="s">
        <v>154</v>
      </c>
      <c r="N680" s="1" t="s">
        <v>139</v>
      </c>
      <c r="O680" s="1" t="str">
        <f>INT(K680)&amp;"°"&amp;INT(MOD(K680,1)*60)&amp;"'"&amp;
ROUND(MOD(MOD(K680,1)*60,1)*60,1)&amp;"""N"</f>
        <v>22°25'10.4"N</v>
      </c>
      <c r="P680" s="1" t="str">
        <f>INT(L680)&amp;"°"&amp;INT(MOD(L680,1)*60)&amp;"'"&amp;
ROUND(MOD(MOD(L680,1)*60,1)*60,1)&amp;"""E"</f>
        <v>106°0'9.2"E</v>
      </c>
      <c r="Q680" s="1" t="str">
        <f>O680 &amp; " " &amp; P680</f>
        <v>22°25'10.4"N 106°0'9.2"E</v>
      </c>
    </row>
    <row r="681" spans="1:17" ht="15.75" customHeight="1" x14ac:dyDescent="0.2">
      <c r="A681" s="1">
        <v>681</v>
      </c>
      <c r="B681" s="1" t="s">
        <v>2456</v>
      </c>
      <c r="C681" s="1" t="s">
        <v>15</v>
      </c>
      <c r="D681" s="1" t="s">
        <v>16</v>
      </c>
      <c r="E681" s="1" t="s">
        <v>2446</v>
      </c>
      <c r="F681" s="1" t="s">
        <v>803</v>
      </c>
      <c r="G681" s="1" t="s">
        <v>2457</v>
      </c>
      <c r="H681" s="1" t="s">
        <v>2458</v>
      </c>
      <c r="I681" s="1" t="s">
        <v>21</v>
      </c>
      <c r="J681" s="1" t="s">
        <v>22</v>
      </c>
      <c r="K681" s="2">
        <v>22.44527008</v>
      </c>
      <c r="L681" s="2">
        <v>105.4323515</v>
      </c>
      <c r="M681" s="1" t="s">
        <v>2459</v>
      </c>
      <c r="N681" s="1" t="s">
        <v>803</v>
      </c>
      <c r="O681" s="1" t="str">
        <f>INT(K681)&amp;"°"&amp;INT(MOD(K681,1)*60)&amp;"'"&amp;
ROUND(MOD(MOD(K681,1)*60,1)*60,1)&amp;"""N"</f>
        <v>22°26'43"N</v>
      </c>
      <c r="P681" s="1" t="str">
        <f>INT(L681)&amp;"°"&amp;INT(MOD(L681,1)*60)&amp;"'"&amp;
ROUND(MOD(MOD(L681,1)*60,1)*60,1)&amp;"""E"</f>
        <v>105°25'56.5"E</v>
      </c>
      <c r="Q681" s="1" t="str">
        <f>O681 &amp; " " &amp; P681</f>
        <v>22°26'43"N 105°25'56.5"E</v>
      </c>
    </row>
    <row r="682" spans="1:17" ht="15.75" customHeight="1" x14ac:dyDescent="0.2">
      <c r="A682" s="1">
        <v>387</v>
      </c>
      <c r="B682" s="1" t="s">
        <v>1417</v>
      </c>
      <c r="C682" s="1" t="s">
        <v>15</v>
      </c>
      <c r="D682" s="1" t="s">
        <v>16</v>
      </c>
      <c r="E682" s="1" t="s">
        <v>1413</v>
      </c>
      <c r="F682" s="1" t="s">
        <v>1414</v>
      </c>
      <c r="G682" s="1" t="s">
        <v>1418</v>
      </c>
      <c r="H682" s="1" t="s">
        <v>1419</v>
      </c>
      <c r="I682" s="1" t="s">
        <v>21</v>
      </c>
      <c r="J682" s="1" t="s">
        <v>22</v>
      </c>
      <c r="K682" s="2">
        <v>22.469374590000001</v>
      </c>
      <c r="L682" s="2">
        <v>102.64770304</v>
      </c>
      <c r="M682" s="1" t="s">
        <v>1418</v>
      </c>
      <c r="N682" s="1" t="s">
        <v>1414</v>
      </c>
      <c r="O682" s="1" t="str">
        <f>INT(K682)&amp;"°"&amp;INT(MOD(K682,1)*60)&amp;"'"&amp;
ROUND(MOD(MOD(K682,1)*60,1)*60,1)&amp;"""N"</f>
        <v>22°28'9.7"N</v>
      </c>
      <c r="P682" s="1" t="str">
        <f>INT(L682)&amp;"°"&amp;INT(MOD(L682,1)*60)&amp;"'"&amp;
ROUND(MOD(MOD(L682,1)*60,1)*60,1)&amp;"""E"</f>
        <v>102°38'51.7"E</v>
      </c>
      <c r="Q682" s="1" t="str">
        <f>O682 &amp; " " &amp; P682</f>
        <v>22°28'9.7"N 102°38'51.7"E</v>
      </c>
    </row>
    <row r="683" spans="1:17" ht="15.75" customHeight="1" x14ac:dyDescent="0.2">
      <c r="A683" s="1">
        <v>129</v>
      </c>
      <c r="B683" s="1" t="s">
        <v>495</v>
      </c>
      <c r="C683" s="1" t="s">
        <v>15</v>
      </c>
      <c r="D683" s="1" t="s">
        <v>16</v>
      </c>
      <c r="E683" s="1" t="s">
        <v>462</v>
      </c>
      <c r="F683" s="1" t="s">
        <v>463</v>
      </c>
      <c r="G683" s="1" t="s">
        <v>496</v>
      </c>
      <c r="H683" s="1" t="s">
        <v>497</v>
      </c>
      <c r="I683" s="1" t="s">
        <v>21</v>
      </c>
      <c r="J683" s="1" t="s">
        <v>22</v>
      </c>
      <c r="K683" s="2">
        <v>22.47027319</v>
      </c>
      <c r="L683" s="2">
        <v>106.32410901999999</v>
      </c>
      <c r="M683" s="1" t="s">
        <v>498</v>
      </c>
      <c r="N683" s="1" t="s">
        <v>463</v>
      </c>
      <c r="O683" s="1" t="str">
        <f>INT(K683)&amp;"°"&amp;INT(MOD(K683,1)*60)&amp;"'"&amp;
ROUND(MOD(MOD(K683,1)*60,1)*60,1)&amp;"""N"</f>
        <v>22°28'13"N</v>
      </c>
      <c r="P683" s="1" t="str">
        <f>INT(L683)&amp;"°"&amp;INT(MOD(L683,1)*60)&amp;"'"&amp;
ROUND(MOD(MOD(L683,1)*60,1)*60,1)&amp;"""E"</f>
        <v>106°19'26.8"E</v>
      </c>
      <c r="Q683" s="1" t="str">
        <f>O683 &amp; " " &amp; P683</f>
        <v>22°28'13"N 106°19'26.8"E</v>
      </c>
    </row>
    <row r="684" spans="1:17" ht="15.75" customHeight="1" x14ac:dyDescent="0.2">
      <c r="A684" s="1">
        <v>417</v>
      </c>
      <c r="B684" s="1" t="s">
        <v>1527</v>
      </c>
      <c r="C684" s="1" t="s">
        <v>15</v>
      </c>
      <c r="D684" s="1" t="s">
        <v>16</v>
      </c>
      <c r="E684" s="1" t="s">
        <v>1528</v>
      </c>
      <c r="F684" s="1" t="s">
        <v>1529</v>
      </c>
      <c r="G684" s="1" t="s">
        <v>1530</v>
      </c>
      <c r="H684" s="1" t="s">
        <v>1531</v>
      </c>
      <c r="I684" s="1" t="s">
        <v>21</v>
      </c>
      <c r="J684" s="1" t="s">
        <v>22</v>
      </c>
      <c r="K684" s="2">
        <v>22.49862267</v>
      </c>
      <c r="L684" s="2">
        <v>104.32127349</v>
      </c>
      <c r="M684" s="1" t="s">
        <v>1530</v>
      </c>
      <c r="N684" s="1" t="s">
        <v>1529</v>
      </c>
      <c r="O684" s="1" t="str">
        <f>INT(K684)&amp;"°"&amp;INT(MOD(K684,1)*60)&amp;"'"&amp;
ROUND(MOD(MOD(K684,1)*60,1)*60,1)&amp;"""N"</f>
        <v>22°29'55"N</v>
      </c>
      <c r="P684" s="1" t="str">
        <f>INT(L684)&amp;"°"&amp;INT(MOD(L684,1)*60)&amp;"'"&amp;
ROUND(MOD(MOD(L684,1)*60,1)*60,1)&amp;"""E"</f>
        <v>104°19'16.6"E</v>
      </c>
      <c r="Q684" s="1" t="str">
        <f>O684 &amp; " " &amp; P684</f>
        <v>22°29'55"N 104°19'16.6"E</v>
      </c>
    </row>
    <row r="685" spans="1:17" ht="15.75" customHeight="1" x14ac:dyDescent="0.2">
      <c r="A685" s="1">
        <v>680</v>
      </c>
      <c r="B685" s="1" t="s">
        <v>2453</v>
      </c>
      <c r="C685" s="1" t="s">
        <v>15</v>
      </c>
      <c r="D685" s="1" t="s">
        <v>16</v>
      </c>
      <c r="E685" s="1" t="s">
        <v>2446</v>
      </c>
      <c r="F685" s="1" t="s">
        <v>803</v>
      </c>
      <c r="G685" s="1" t="s">
        <v>2454</v>
      </c>
      <c r="H685" s="1" t="s">
        <v>2455</v>
      </c>
      <c r="I685" s="1" t="s">
        <v>21</v>
      </c>
      <c r="J685" s="1" t="s">
        <v>22</v>
      </c>
      <c r="K685" s="2">
        <v>22.503589300000002</v>
      </c>
      <c r="L685" s="2">
        <v>105.22761206</v>
      </c>
      <c r="M685" s="1" t="s">
        <v>2454</v>
      </c>
      <c r="N685" s="1" t="s">
        <v>803</v>
      </c>
      <c r="O685" s="1" t="str">
        <f>INT(K685)&amp;"°"&amp;INT(MOD(K685,1)*60)&amp;"'"&amp;
ROUND(MOD(MOD(K685,1)*60,1)*60,1)&amp;"""N"</f>
        <v>22°30'12.9"N</v>
      </c>
      <c r="P685" s="1" t="str">
        <f>INT(L685)&amp;"°"&amp;INT(MOD(L685,1)*60)&amp;"'"&amp;
ROUND(MOD(MOD(L685,1)*60,1)*60,1)&amp;"""E"</f>
        <v>105°13'39.4"E</v>
      </c>
      <c r="Q685" s="1" t="str">
        <f>O685 &amp; " " &amp; P685</f>
        <v>22°30'12.9"N 105°13'39.4"E</v>
      </c>
    </row>
    <row r="686" spans="1:17" ht="15.75" customHeight="1" x14ac:dyDescent="0.2">
      <c r="A686" s="1">
        <v>127</v>
      </c>
      <c r="B686" s="1" t="s">
        <v>489</v>
      </c>
      <c r="C686" s="1" t="s">
        <v>15</v>
      </c>
      <c r="D686" s="1" t="s">
        <v>16</v>
      </c>
      <c r="E686" s="1" t="s">
        <v>462</v>
      </c>
      <c r="F686" s="1" t="s">
        <v>463</v>
      </c>
      <c r="G686" s="1" t="s">
        <v>490</v>
      </c>
      <c r="H686" s="1" t="s">
        <v>491</v>
      </c>
      <c r="I686" s="1" t="s">
        <v>21</v>
      </c>
      <c r="J686" s="1" t="s">
        <v>22</v>
      </c>
      <c r="K686" s="2">
        <v>22.558353960000002</v>
      </c>
      <c r="L686" s="2">
        <v>106.52676966</v>
      </c>
      <c r="M686" s="1" t="s">
        <v>490</v>
      </c>
      <c r="N686" s="1" t="s">
        <v>463</v>
      </c>
      <c r="O686" s="1" t="str">
        <f>INT(K686)&amp;"°"&amp;INT(MOD(K686,1)*60)&amp;"'"&amp;
ROUND(MOD(MOD(K686,1)*60,1)*60,1)&amp;"""N"</f>
        <v>22°33'30.1"N</v>
      </c>
      <c r="P686" s="1" t="str">
        <f>INT(L686)&amp;"°"&amp;INT(MOD(L686,1)*60)&amp;"'"&amp;
ROUND(MOD(MOD(L686,1)*60,1)*60,1)&amp;"""E"</f>
        <v>106°31'36.4"E</v>
      </c>
      <c r="Q686" s="1" t="str">
        <f>O686 &amp; " " &amp; P686</f>
        <v>22°33'30.1"N 106°31'36.4"E</v>
      </c>
    </row>
    <row r="687" spans="1:17" ht="15.75" customHeight="1" x14ac:dyDescent="0.2">
      <c r="A687" s="1">
        <v>420</v>
      </c>
      <c r="B687" s="1" t="s">
        <v>1539</v>
      </c>
      <c r="C687" s="1" t="s">
        <v>15</v>
      </c>
      <c r="D687" s="1" t="s">
        <v>16</v>
      </c>
      <c r="E687" s="1" t="s">
        <v>1528</v>
      </c>
      <c r="F687" s="1" t="s">
        <v>1529</v>
      </c>
      <c r="G687" s="1" t="s">
        <v>1540</v>
      </c>
      <c r="H687" s="1" t="s">
        <v>1541</v>
      </c>
      <c r="I687" s="1" t="s">
        <v>21</v>
      </c>
      <c r="J687" s="1" t="s">
        <v>22</v>
      </c>
      <c r="K687" s="2">
        <v>22.566506260000001</v>
      </c>
      <c r="L687" s="2">
        <v>103.71734171</v>
      </c>
      <c r="M687" s="1" t="s">
        <v>1542</v>
      </c>
      <c r="N687" s="1" t="s">
        <v>1529</v>
      </c>
      <c r="O687" s="1" t="str">
        <f>INT(K687)&amp;"°"&amp;INT(MOD(K687,1)*60)&amp;"'"&amp;
ROUND(MOD(MOD(K687,1)*60,1)*60,1)&amp;"""N"</f>
        <v>22°33'59.4"N</v>
      </c>
      <c r="P687" s="1" t="str">
        <f>INT(L687)&amp;"°"&amp;INT(MOD(L687,1)*60)&amp;"'"&amp;
ROUND(MOD(MOD(L687,1)*60,1)*60,1)&amp;"""E"</f>
        <v>103°43'2.4"E</v>
      </c>
      <c r="Q687" s="1" t="str">
        <f>O687 &amp; " " &amp; P687</f>
        <v>22°33'59.4"N 103°43'2.4"E</v>
      </c>
    </row>
    <row r="688" spans="1:17" ht="15.75" customHeight="1" x14ac:dyDescent="0.2">
      <c r="A688" s="1">
        <v>389</v>
      </c>
      <c r="B688" s="1" t="s">
        <v>1424</v>
      </c>
      <c r="C688" s="1" t="s">
        <v>15</v>
      </c>
      <c r="D688" s="1" t="s">
        <v>16</v>
      </c>
      <c r="E688" s="1" t="s">
        <v>1413</v>
      </c>
      <c r="F688" s="1" t="s">
        <v>1414</v>
      </c>
      <c r="G688" s="1" t="s">
        <v>1425</v>
      </c>
      <c r="H688" s="1" t="s">
        <v>1426</v>
      </c>
      <c r="I688" s="1" t="s">
        <v>21</v>
      </c>
      <c r="J688" s="1" t="s">
        <v>22</v>
      </c>
      <c r="K688" s="2">
        <v>22.59141005</v>
      </c>
      <c r="L688" s="2">
        <v>103.36409642</v>
      </c>
      <c r="M688" s="1" t="s">
        <v>1427</v>
      </c>
      <c r="N688" s="1" t="s">
        <v>1414</v>
      </c>
      <c r="O688" s="1" t="str">
        <f>INT(K688)&amp;"°"&amp;INT(MOD(K688,1)*60)&amp;"'"&amp;
ROUND(MOD(MOD(K688,1)*60,1)*60,1)&amp;"""N"</f>
        <v>22°35'29.1"N</v>
      </c>
      <c r="P688" s="1" t="str">
        <f>INT(L688)&amp;"°"&amp;INT(MOD(L688,1)*60)&amp;"'"&amp;
ROUND(MOD(MOD(L688,1)*60,1)*60,1)&amp;"""E"</f>
        <v>103°21'50.7"E</v>
      </c>
      <c r="Q688" s="1" t="str">
        <f>O688 &amp; " " &amp; P688</f>
        <v>22°35'29.1"N 103°21'50.7"E</v>
      </c>
    </row>
    <row r="689" spans="1:17" ht="15.75" customHeight="1" x14ac:dyDescent="0.2">
      <c r="A689" s="1">
        <v>35</v>
      </c>
      <c r="B689" s="1" t="s">
        <v>156</v>
      </c>
      <c r="C689" s="1" t="s">
        <v>15</v>
      </c>
      <c r="D689" s="1" t="s">
        <v>16</v>
      </c>
      <c r="E689" s="1" t="s">
        <v>134</v>
      </c>
      <c r="F689" s="1" t="s">
        <v>135</v>
      </c>
      <c r="G689" s="1" t="s">
        <v>157</v>
      </c>
      <c r="H689" s="1" t="s">
        <v>158</v>
      </c>
      <c r="I689" s="1" t="s">
        <v>21</v>
      </c>
      <c r="J689" s="1" t="s">
        <v>22</v>
      </c>
      <c r="K689" s="2">
        <v>22.604143359999998</v>
      </c>
      <c r="L689" s="2">
        <v>105.66711726</v>
      </c>
      <c r="M689" s="1" t="s">
        <v>159</v>
      </c>
      <c r="N689" s="1" t="s">
        <v>139</v>
      </c>
      <c r="O689" s="1" t="str">
        <f>INT(K689)&amp;"°"&amp;INT(MOD(K689,1)*60)&amp;"'"&amp;
ROUND(MOD(MOD(K689,1)*60,1)*60,1)&amp;"""N"</f>
        <v>22°36'14.9"N</v>
      </c>
      <c r="P689" s="1" t="str">
        <f>INT(L689)&amp;"°"&amp;INT(MOD(L689,1)*60)&amp;"'"&amp;
ROUND(MOD(MOD(L689,1)*60,1)*60,1)&amp;"""E"</f>
        <v>105°40'1.6"E</v>
      </c>
      <c r="Q689" s="1" t="str">
        <f>O689 &amp; " " &amp; P689</f>
        <v>22°36'14.9"N 105°40'1.6"E</v>
      </c>
    </row>
    <row r="690" spans="1:17" ht="15.75" customHeight="1" x14ac:dyDescent="0.2">
      <c r="A690" s="1">
        <v>126</v>
      </c>
      <c r="B690" s="1" t="s">
        <v>485</v>
      </c>
      <c r="C690" s="1" t="s">
        <v>15</v>
      </c>
      <c r="D690" s="1" t="s">
        <v>16</v>
      </c>
      <c r="E690" s="1" t="s">
        <v>462</v>
      </c>
      <c r="F690" s="1" t="s">
        <v>463</v>
      </c>
      <c r="G690" s="1" t="s">
        <v>486</v>
      </c>
      <c r="H690" s="1" t="s">
        <v>487</v>
      </c>
      <c r="I690" s="1" t="s">
        <v>21</v>
      </c>
      <c r="J690" s="1" t="s">
        <v>22</v>
      </c>
      <c r="K690" s="2">
        <v>22.630278199999999</v>
      </c>
      <c r="L690" s="2">
        <v>105.93194473</v>
      </c>
      <c r="M690" s="1" t="s">
        <v>488</v>
      </c>
      <c r="N690" s="1" t="s">
        <v>463</v>
      </c>
      <c r="O690" s="1" t="str">
        <f>INT(K690)&amp;"°"&amp;INT(MOD(K690,1)*60)&amp;"'"&amp;
ROUND(MOD(MOD(K690,1)*60,1)*60,1)&amp;"""N"</f>
        <v>22°37'49"N</v>
      </c>
      <c r="P690" s="1" t="str">
        <f>INT(L690)&amp;"°"&amp;INT(MOD(L690,1)*60)&amp;"'"&amp;
ROUND(MOD(MOD(L690,1)*60,1)*60,1)&amp;"""E"</f>
        <v>105°55'55"E</v>
      </c>
      <c r="Q690" s="1" t="str">
        <f>O690 &amp; " " &amp; P690</f>
        <v>22°37'49"N 105°55'55"E</v>
      </c>
    </row>
    <row r="691" spans="1:17" ht="15.75" customHeight="1" x14ac:dyDescent="0.2">
      <c r="A691" s="1">
        <v>222</v>
      </c>
      <c r="B691" s="1" t="s">
        <v>831</v>
      </c>
      <c r="C691" s="1" t="s">
        <v>15</v>
      </c>
      <c r="D691" s="1" t="s">
        <v>16</v>
      </c>
      <c r="E691" s="1" t="s">
        <v>799</v>
      </c>
      <c r="F691" s="1" t="s">
        <v>800</v>
      </c>
      <c r="G691" s="1" t="s">
        <v>832</v>
      </c>
      <c r="H691" s="1" t="s">
        <v>833</v>
      </c>
      <c r="I691" s="1" t="s">
        <v>21</v>
      </c>
      <c r="J691" s="1" t="s">
        <v>22</v>
      </c>
      <c r="K691" s="2">
        <v>22.635430530000001</v>
      </c>
      <c r="L691" s="2">
        <v>104.50935579</v>
      </c>
      <c r="M691" s="1" t="s">
        <v>834</v>
      </c>
      <c r="N691" s="1" t="s">
        <v>803</v>
      </c>
      <c r="O691" s="1" t="str">
        <f>INT(K691)&amp;"°"&amp;INT(MOD(K691,1)*60)&amp;"'"&amp;
ROUND(MOD(MOD(K691,1)*60,1)*60,1)&amp;"""N"</f>
        <v>22°38'7.5"N</v>
      </c>
      <c r="P691" s="1" t="str">
        <f>INT(L691)&amp;"°"&amp;INT(MOD(L691,1)*60)&amp;"'"&amp;
ROUND(MOD(MOD(L691,1)*60,1)*60,1)&amp;"""E"</f>
        <v>104°30'33.7"E</v>
      </c>
      <c r="Q691" s="1" t="str">
        <f>O691 &amp; " " &amp; P691</f>
        <v>22°38'7.5"N 104°30'33.7"E</v>
      </c>
    </row>
    <row r="692" spans="1:17" ht="15.75" customHeight="1" x14ac:dyDescent="0.2">
      <c r="A692" s="1">
        <v>122</v>
      </c>
      <c r="B692" s="1" t="s">
        <v>470</v>
      </c>
      <c r="C692" s="1" t="s">
        <v>15</v>
      </c>
      <c r="D692" s="1" t="s">
        <v>16</v>
      </c>
      <c r="E692" s="1" t="s">
        <v>462</v>
      </c>
      <c r="F692" s="1" t="s">
        <v>463</v>
      </c>
      <c r="G692" s="1" t="s">
        <v>463</v>
      </c>
      <c r="H692" s="1" t="s">
        <v>471</v>
      </c>
      <c r="I692" s="1" t="s">
        <v>27</v>
      </c>
      <c r="J692" s="1" t="s">
        <v>28</v>
      </c>
      <c r="K692" s="2">
        <v>22.65370356</v>
      </c>
      <c r="L692" s="2">
        <v>106.25711733999999</v>
      </c>
      <c r="M692" s="1" t="s">
        <v>472</v>
      </c>
      <c r="N692" s="1" t="s">
        <v>463</v>
      </c>
      <c r="O692" s="1" t="str">
        <f>INT(K692)&amp;"°"&amp;INT(MOD(K692,1)*60)&amp;"'"&amp;
ROUND(MOD(MOD(K692,1)*60,1)*60,1)&amp;"""N"</f>
        <v>22°39'13.3"N</v>
      </c>
      <c r="P692" s="1" t="str">
        <f>INT(L692)&amp;"°"&amp;INT(MOD(L692,1)*60)&amp;"'"&amp;
ROUND(MOD(MOD(L692,1)*60,1)*60,1)&amp;"""E"</f>
        <v>106°15'25.6"E</v>
      </c>
      <c r="Q692" s="1" t="str">
        <f>O692 &amp; " " &amp; P692</f>
        <v>22°39'13.3"N 106°15'25.6"E</v>
      </c>
    </row>
    <row r="693" spans="1:17" ht="15.75" customHeight="1" x14ac:dyDescent="0.2">
      <c r="A693" s="1">
        <v>424</v>
      </c>
      <c r="B693" s="1" t="s">
        <v>1553</v>
      </c>
      <c r="C693" s="1" t="s">
        <v>15</v>
      </c>
      <c r="D693" s="1" t="s">
        <v>16</v>
      </c>
      <c r="E693" s="1" t="s">
        <v>1528</v>
      </c>
      <c r="F693" s="1" t="s">
        <v>1529</v>
      </c>
      <c r="G693" s="1" t="s">
        <v>1554</v>
      </c>
      <c r="H693" s="1" t="s">
        <v>1554</v>
      </c>
      <c r="I693" s="1" t="s">
        <v>21</v>
      </c>
      <c r="J693" s="1" t="s">
        <v>22</v>
      </c>
      <c r="K693" s="2">
        <v>22.667851469999999</v>
      </c>
      <c r="L693" s="2">
        <v>104.26528874</v>
      </c>
      <c r="M693" s="1" t="s">
        <v>1554</v>
      </c>
      <c r="N693" s="1" t="s">
        <v>1529</v>
      </c>
      <c r="O693" s="1" t="str">
        <f>INT(K693)&amp;"°"&amp;INT(MOD(K693,1)*60)&amp;"'"&amp;
ROUND(MOD(MOD(K693,1)*60,1)*60,1)&amp;"""N"</f>
        <v>22°40'4.3"N</v>
      </c>
      <c r="P693" s="1" t="str">
        <f>INT(L693)&amp;"°"&amp;INT(MOD(L693,1)*60)&amp;"'"&amp;
ROUND(MOD(MOD(L693,1)*60,1)*60,1)&amp;"""E"</f>
        <v>104°15'55"E</v>
      </c>
      <c r="Q693" s="1" t="str">
        <f>O693 &amp; " " &amp; P693</f>
        <v>22°40'4.3"N 104°15'55"E</v>
      </c>
    </row>
    <row r="694" spans="1:17" ht="15.75" customHeight="1" x14ac:dyDescent="0.2">
      <c r="A694" s="1">
        <v>128</v>
      </c>
      <c r="B694" s="1" t="s">
        <v>492</v>
      </c>
      <c r="C694" s="1" t="s">
        <v>15</v>
      </c>
      <c r="D694" s="1" t="s">
        <v>16</v>
      </c>
      <c r="E694" s="1" t="s">
        <v>462</v>
      </c>
      <c r="F694" s="1" t="s">
        <v>463</v>
      </c>
      <c r="G694" s="1" t="s">
        <v>493</v>
      </c>
      <c r="H694" s="1" t="s">
        <v>494</v>
      </c>
      <c r="I694" s="1" t="s">
        <v>21</v>
      </c>
      <c r="J694" s="1" t="s">
        <v>22</v>
      </c>
      <c r="K694" s="2">
        <v>22.6753857</v>
      </c>
      <c r="L694" s="2">
        <v>106.44208952</v>
      </c>
      <c r="M694" s="1" t="s">
        <v>493</v>
      </c>
      <c r="N694" s="1" t="s">
        <v>463</v>
      </c>
      <c r="O694" s="1" t="str">
        <f>INT(K694)&amp;"°"&amp;INT(MOD(K694,1)*60)&amp;"'"&amp;
ROUND(MOD(MOD(K694,1)*60,1)*60,1)&amp;"""N"</f>
        <v>22°40'31.4"N</v>
      </c>
      <c r="P694" s="1" t="str">
        <f>INT(L694)&amp;"°"&amp;INT(MOD(L694,1)*60)&amp;"'"&amp;
ROUND(MOD(MOD(L694,1)*60,1)*60,1)&amp;"""E"</f>
        <v>106°26'31.5"E</v>
      </c>
      <c r="Q694" s="1" t="str">
        <f>O694 &amp; " " &amp; P694</f>
        <v>22°40'31.4"N 106°26'31.5"E</v>
      </c>
    </row>
    <row r="695" spans="1:17" ht="15.75" customHeight="1" x14ac:dyDescent="0.2">
      <c r="A695" s="1">
        <v>422</v>
      </c>
      <c r="B695" s="1" t="s">
        <v>1546</v>
      </c>
      <c r="C695" s="1" t="s">
        <v>15</v>
      </c>
      <c r="D695" s="1" t="s">
        <v>16</v>
      </c>
      <c r="E695" s="1" t="s">
        <v>1528</v>
      </c>
      <c r="F695" s="1" t="s">
        <v>1529</v>
      </c>
      <c r="G695" s="1" t="s">
        <v>1547</v>
      </c>
      <c r="H695" s="1" t="s">
        <v>1548</v>
      </c>
      <c r="I695" s="1" t="s">
        <v>21</v>
      </c>
      <c r="J695" s="1" t="s">
        <v>22</v>
      </c>
      <c r="K695" s="2">
        <v>22.678976299999999</v>
      </c>
      <c r="L695" s="2">
        <v>104.13371694999999</v>
      </c>
      <c r="M695" s="1" t="s">
        <v>1549</v>
      </c>
      <c r="N695" s="1" t="s">
        <v>1529</v>
      </c>
      <c r="O695" s="1" t="str">
        <f>INT(K695)&amp;"°"&amp;INT(MOD(K695,1)*60)&amp;"'"&amp;
ROUND(MOD(MOD(K695,1)*60,1)*60,1)&amp;"""N"</f>
        <v>22°40'44.3"N</v>
      </c>
      <c r="P695" s="1" t="str">
        <f>INT(L695)&amp;"°"&amp;INT(MOD(L695,1)*60)&amp;"'"&amp;
ROUND(MOD(MOD(L695,1)*60,1)*60,1)&amp;"""E"</f>
        <v>104°8'1.4"E</v>
      </c>
      <c r="Q695" s="1" t="str">
        <f>O695 &amp; " " &amp; P695</f>
        <v>22°40'44.3"N 104°8'1.4"E</v>
      </c>
    </row>
    <row r="696" spans="1:17" ht="15.75" customHeight="1" x14ac:dyDescent="0.2">
      <c r="A696" s="1">
        <v>217</v>
      </c>
      <c r="B696" s="1" t="s">
        <v>815</v>
      </c>
      <c r="C696" s="1" t="s">
        <v>15</v>
      </c>
      <c r="D696" s="1" t="s">
        <v>16</v>
      </c>
      <c r="E696" s="1" t="s">
        <v>799</v>
      </c>
      <c r="F696" s="1" t="s">
        <v>800</v>
      </c>
      <c r="G696" s="1" t="s">
        <v>816</v>
      </c>
      <c r="H696" s="1" t="s">
        <v>817</v>
      </c>
      <c r="I696" s="1" t="s">
        <v>21</v>
      </c>
      <c r="J696" s="1" t="s">
        <v>22</v>
      </c>
      <c r="K696" s="2">
        <v>22.69839511</v>
      </c>
      <c r="L696" s="2">
        <v>104.68686432</v>
      </c>
      <c r="M696" s="1" t="s">
        <v>816</v>
      </c>
      <c r="N696" s="1" t="s">
        <v>803</v>
      </c>
      <c r="O696" s="1" t="str">
        <f>INT(K696)&amp;"°"&amp;INT(MOD(K696,1)*60)&amp;"'"&amp;
ROUND(MOD(MOD(K696,1)*60,1)*60,1)&amp;"""N"</f>
        <v>22°41'54.2"N</v>
      </c>
      <c r="P696" s="1" t="str">
        <f>INT(L696)&amp;"°"&amp;INT(MOD(L696,1)*60)&amp;"'"&amp;
ROUND(MOD(MOD(L696,1)*60,1)*60,1)&amp;"""E"</f>
        <v>104°41'12.7"E</v>
      </c>
      <c r="Q696" s="1" t="str">
        <f>O696 &amp; " " &amp; P696</f>
        <v>22°41'54.2"N 104°41'12.7"E</v>
      </c>
    </row>
    <row r="697" spans="1:17" ht="15.75" customHeight="1" x14ac:dyDescent="0.2">
      <c r="A697" s="1">
        <v>125</v>
      </c>
      <c r="B697" s="1" t="s">
        <v>481</v>
      </c>
      <c r="C697" s="1" t="s">
        <v>15</v>
      </c>
      <c r="D697" s="1" t="s">
        <v>16</v>
      </c>
      <c r="E697" s="1" t="s">
        <v>462</v>
      </c>
      <c r="F697" s="1" t="s">
        <v>463</v>
      </c>
      <c r="G697" s="1" t="s">
        <v>482</v>
      </c>
      <c r="H697" s="1" t="s">
        <v>483</v>
      </c>
      <c r="I697" s="1" t="s">
        <v>21</v>
      </c>
      <c r="J697" s="1" t="s">
        <v>22</v>
      </c>
      <c r="K697" s="2">
        <v>22.698874069999999</v>
      </c>
      <c r="L697" s="2">
        <v>106.19601641</v>
      </c>
      <c r="M697" s="1" t="s">
        <v>484</v>
      </c>
      <c r="N697" s="1" t="s">
        <v>463</v>
      </c>
      <c r="O697" s="1" t="str">
        <f>INT(K697)&amp;"°"&amp;INT(MOD(K697,1)*60)&amp;"'"&amp;
ROUND(MOD(MOD(K697,1)*60,1)*60,1)&amp;"""N"</f>
        <v>22°41'55.9"N</v>
      </c>
      <c r="P697" s="1" t="str">
        <f>INT(L697)&amp;"°"&amp;INT(MOD(L697,1)*60)&amp;"'"&amp;
ROUND(MOD(MOD(L697,1)*60,1)*60,1)&amp;"""E"</f>
        <v>106°11'45.7"E</v>
      </c>
      <c r="Q697" s="1" t="str">
        <f>O697 &amp; " " &amp; P697</f>
        <v>22°41'55.9"N 106°11'45.7"E</v>
      </c>
    </row>
    <row r="698" spans="1:17" ht="15.75" customHeight="1" x14ac:dyDescent="0.2">
      <c r="A698" s="1">
        <v>123</v>
      </c>
      <c r="B698" s="1" t="s">
        <v>473</v>
      </c>
      <c r="C698" s="1" t="s">
        <v>15</v>
      </c>
      <c r="D698" s="1" t="s">
        <v>16</v>
      </c>
      <c r="E698" s="1" t="s">
        <v>462</v>
      </c>
      <c r="F698" s="1" t="s">
        <v>463</v>
      </c>
      <c r="G698" s="1" t="s">
        <v>474</v>
      </c>
      <c r="H698" s="1" t="s">
        <v>475</v>
      </c>
      <c r="I698" s="1" t="s">
        <v>21</v>
      </c>
      <c r="J698" s="1" t="s">
        <v>22</v>
      </c>
      <c r="K698" s="2">
        <v>22.712750939999999</v>
      </c>
      <c r="L698" s="2">
        <v>106.68331514</v>
      </c>
      <c r="M698" s="1" t="s">
        <v>476</v>
      </c>
      <c r="N698" s="1" t="s">
        <v>463</v>
      </c>
      <c r="O698" s="1" t="str">
        <f>INT(K698)&amp;"°"&amp;INT(MOD(K698,1)*60)&amp;"'"&amp;
ROUND(MOD(MOD(K698,1)*60,1)*60,1)&amp;"""N"</f>
        <v>22°42'45.9"N</v>
      </c>
      <c r="P698" s="1" t="str">
        <f>INT(L698)&amp;"°"&amp;INT(MOD(L698,1)*60)&amp;"'"&amp;
ROUND(MOD(MOD(L698,1)*60,1)*60,1)&amp;"""E"</f>
        <v>106°40'59.9"E</v>
      </c>
      <c r="Q698" s="1" t="str">
        <f>O698 &amp; " " &amp; P698</f>
        <v>22°42'45.9"N 106°40'59.9"E</v>
      </c>
    </row>
    <row r="699" spans="1:17" ht="15.75" customHeight="1" x14ac:dyDescent="0.2">
      <c r="A699" s="1">
        <v>213</v>
      </c>
      <c r="B699" s="1" t="s">
        <v>798</v>
      </c>
      <c r="C699" s="1" t="s">
        <v>15</v>
      </c>
      <c r="D699" s="1" t="s">
        <v>16</v>
      </c>
      <c r="E699" s="1" t="s">
        <v>799</v>
      </c>
      <c r="F699" s="1" t="s">
        <v>800</v>
      </c>
      <c r="G699" s="1" t="s">
        <v>801</v>
      </c>
      <c r="H699" s="1" t="s">
        <v>802</v>
      </c>
      <c r="I699" s="1" t="s">
        <v>21</v>
      </c>
      <c r="J699" s="1" t="s">
        <v>22</v>
      </c>
      <c r="K699" s="2">
        <v>22.750355509999999</v>
      </c>
      <c r="L699" s="2">
        <v>105.28678712</v>
      </c>
      <c r="M699" s="1" t="s">
        <v>801</v>
      </c>
      <c r="N699" s="1" t="s">
        <v>803</v>
      </c>
      <c r="O699" s="1" t="str">
        <f>INT(K699)&amp;"°"&amp;INT(MOD(K699,1)*60)&amp;"'"&amp;
ROUND(MOD(MOD(K699,1)*60,1)*60,1)&amp;"""N"</f>
        <v>22°45'1.3"N</v>
      </c>
      <c r="P699" s="1" t="str">
        <f>INT(L699)&amp;"°"&amp;INT(MOD(L699,1)*60)&amp;"'"&amp;
ROUND(MOD(MOD(L699,1)*60,1)*60,1)&amp;"""E"</f>
        <v>105°17'12.4"E</v>
      </c>
      <c r="Q699" s="1" t="str">
        <f>O699 &amp; " " &amp; P699</f>
        <v>22°45'1.3"N 105°17'12.4"E</v>
      </c>
    </row>
    <row r="700" spans="1:17" ht="15.75" customHeight="1" x14ac:dyDescent="0.2">
      <c r="A700" s="1">
        <v>221</v>
      </c>
      <c r="B700" s="1" t="s">
        <v>828</v>
      </c>
      <c r="C700" s="1" t="s">
        <v>15</v>
      </c>
      <c r="D700" s="1" t="s">
        <v>16</v>
      </c>
      <c r="E700" s="1" t="s">
        <v>799</v>
      </c>
      <c r="F700" s="1" t="s">
        <v>800</v>
      </c>
      <c r="G700" s="1" t="s">
        <v>829</v>
      </c>
      <c r="H700" s="1" t="s">
        <v>830</v>
      </c>
      <c r="I700" s="1" t="s">
        <v>21</v>
      </c>
      <c r="J700" s="1" t="s">
        <v>22</v>
      </c>
      <c r="K700" s="2">
        <v>22.759295309999999</v>
      </c>
      <c r="L700" s="2">
        <v>104.96398752</v>
      </c>
      <c r="M700" s="1" t="s">
        <v>829</v>
      </c>
      <c r="N700" s="1" t="s">
        <v>803</v>
      </c>
      <c r="O700" s="1" t="str">
        <f>INT(K700)&amp;"°"&amp;INT(MOD(K700,1)*60)&amp;"'"&amp;
ROUND(MOD(MOD(K700,1)*60,1)*60,1)&amp;"""N"</f>
        <v>22°45'33.5"N</v>
      </c>
      <c r="P700" s="1" t="str">
        <f>INT(L700)&amp;"°"&amp;INT(MOD(L700,1)*60)&amp;"'"&amp;
ROUND(MOD(MOD(L700,1)*60,1)*60,1)&amp;"""E"</f>
        <v>104°57'50.4"E</v>
      </c>
      <c r="Q700" s="1" t="str">
        <f>O700 &amp; " " &amp; P700</f>
        <v>22°45'33.5"N 104°57'50.4"E</v>
      </c>
    </row>
    <row r="701" spans="1:17" ht="15.75" customHeight="1" x14ac:dyDescent="0.2">
      <c r="A701" s="1">
        <v>130</v>
      </c>
      <c r="B701" s="1" t="s">
        <v>499</v>
      </c>
      <c r="C701" s="1" t="s">
        <v>15</v>
      </c>
      <c r="D701" s="1" t="s">
        <v>16</v>
      </c>
      <c r="E701" s="1" t="s">
        <v>462</v>
      </c>
      <c r="F701" s="1" t="s">
        <v>463</v>
      </c>
      <c r="G701" s="1" t="s">
        <v>500</v>
      </c>
      <c r="H701" s="1" t="s">
        <v>501</v>
      </c>
      <c r="I701" s="1" t="s">
        <v>21</v>
      </c>
      <c r="J701" s="1" t="s">
        <v>22</v>
      </c>
      <c r="K701" s="2">
        <v>22.819160050000001</v>
      </c>
      <c r="L701" s="2">
        <v>105.94755135</v>
      </c>
      <c r="M701" s="1" t="s">
        <v>500</v>
      </c>
      <c r="N701" s="1" t="s">
        <v>463</v>
      </c>
      <c r="O701" s="1" t="str">
        <f>INT(K701)&amp;"°"&amp;INT(MOD(K701,1)*60)&amp;"'"&amp;
ROUND(MOD(MOD(K701,1)*60,1)*60,1)&amp;"""N"</f>
        <v>22°49'9"N</v>
      </c>
      <c r="P701" s="1" t="str">
        <f>INT(L701)&amp;"°"&amp;INT(MOD(L701,1)*60)&amp;"'"&amp;
ROUND(MOD(MOD(L701,1)*60,1)*60,1)&amp;"""E"</f>
        <v>105°56'51.2"E</v>
      </c>
      <c r="Q701" s="1" t="str">
        <f>O701 &amp; " " &amp; P701</f>
        <v>22°49'9"N 105°56'51.2"E</v>
      </c>
    </row>
    <row r="702" spans="1:17" ht="15.75" customHeight="1" x14ac:dyDescent="0.2">
      <c r="A702" s="1">
        <v>131</v>
      </c>
      <c r="B702" s="1" t="s">
        <v>502</v>
      </c>
      <c r="C702" s="1" t="s">
        <v>15</v>
      </c>
      <c r="D702" s="1" t="s">
        <v>16</v>
      </c>
      <c r="E702" s="1" t="s">
        <v>462</v>
      </c>
      <c r="F702" s="1" t="s">
        <v>463</v>
      </c>
      <c r="G702" s="1" t="s">
        <v>503</v>
      </c>
      <c r="H702" s="1" t="s">
        <v>504</v>
      </c>
      <c r="I702" s="1" t="s">
        <v>21</v>
      </c>
      <c r="J702" s="1" t="s">
        <v>22</v>
      </c>
      <c r="K702" s="2">
        <v>22.819945449999999</v>
      </c>
      <c r="L702" s="2">
        <v>106.32507450999999</v>
      </c>
      <c r="M702" s="1" t="s">
        <v>503</v>
      </c>
      <c r="N702" s="1" t="s">
        <v>463</v>
      </c>
      <c r="O702" s="1" t="str">
        <f>INT(K702)&amp;"°"&amp;INT(MOD(K702,1)*60)&amp;"'"&amp;
ROUND(MOD(MOD(K702,1)*60,1)*60,1)&amp;"""N"</f>
        <v>22°49'11.8"N</v>
      </c>
      <c r="P702" s="1" t="str">
        <f>INT(L702)&amp;"°"&amp;INT(MOD(L702,1)*60)&amp;"'"&amp;
ROUND(MOD(MOD(L702,1)*60,1)*60,1)&amp;"""E"</f>
        <v>106°19'30.3"E</v>
      </c>
      <c r="Q702" s="1" t="str">
        <f>O702 &amp; " " &amp; P702</f>
        <v>22°49'11.8"N 106°19'30.3"E</v>
      </c>
    </row>
    <row r="703" spans="1:17" ht="15.75" customHeight="1" x14ac:dyDescent="0.2">
      <c r="A703" s="1">
        <v>216</v>
      </c>
      <c r="B703" s="1" t="s">
        <v>812</v>
      </c>
      <c r="C703" s="1" t="s">
        <v>15</v>
      </c>
      <c r="D703" s="1" t="s">
        <v>16</v>
      </c>
      <c r="E703" s="1" t="s">
        <v>799</v>
      </c>
      <c r="F703" s="1" t="s">
        <v>800</v>
      </c>
      <c r="G703" s="1" t="s">
        <v>800</v>
      </c>
      <c r="H703" s="1" t="s">
        <v>813</v>
      </c>
      <c r="I703" s="1" t="s">
        <v>27</v>
      </c>
      <c r="J703" s="1" t="s">
        <v>28</v>
      </c>
      <c r="K703" s="2">
        <v>22.819958270000001</v>
      </c>
      <c r="L703" s="2">
        <v>104.96718706</v>
      </c>
      <c r="M703" s="1" t="s">
        <v>814</v>
      </c>
      <c r="N703" s="1" t="s">
        <v>803</v>
      </c>
      <c r="O703" s="1" t="str">
        <f>INT(K703)&amp;"°"&amp;INT(MOD(K703,1)*60)&amp;"'"&amp;
ROUND(MOD(MOD(K703,1)*60,1)*60,1)&amp;"""N"</f>
        <v>22°49'11.8"N</v>
      </c>
      <c r="P703" s="1" t="str">
        <f>INT(L703)&amp;"°"&amp;INT(MOD(L703,1)*60)&amp;"'"&amp;
ROUND(MOD(MOD(L703,1)*60,1)*60,1)&amp;"""E"</f>
        <v>104°58'1.9"E</v>
      </c>
      <c r="Q703" s="1" t="str">
        <f>O703 &amp; " " &amp; P703</f>
        <v>22°49'11.8"N 104°58'1.9"E</v>
      </c>
    </row>
    <row r="704" spans="1:17" ht="15.75" customHeight="1" x14ac:dyDescent="0.2">
      <c r="A704" s="1">
        <v>132</v>
      </c>
      <c r="B704" s="1" t="s">
        <v>505</v>
      </c>
      <c r="C704" s="1" t="s">
        <v>15</v>
      </c>
      <c r="D704" s="1" t="s">
        <v>16</v>
      </c>
      <c r="E704" s="1" t="s">
        <v>462</v>
      </c>
      <c r="F704" s="1" t="s">
        <v>463</v>
      </c>
      <c r="G704" s="1" t="s">
        <v>506</v>
      </c>
      <c r="H704" s="1" t="s">
        <v>507</v>
      </c>
      <c r="I704" s="1" t="s">
        <v>21</v>
      </c>
      <c r="J704" s="1" t="s">
        <v>22</v>
      </c>
      <c r="K704" s="2">
        <v>22.833914490000002</v>
      </c>
      <c r="L704" s="2">
        <v>106.55545469</v>
      </c>
      <c r="M704" s="1" t="s">
        <v>506</v>
      </c>
      <c r="N704" s="1" t="s">
        <v>463</v>
      </c>
      <c r="O704" s="1" t="str">
        <f>INT(K704)&amp;"°"&amp;INT(MOD(K704,1)*60)&amp;"'"&amp;
ROUND(MOD(MOD(K704,1)*60,1)*60,1)&amp;"""N"</f>
        <v>22°50'2.1"N</v>
      </c>
      <c r="P704" s="1" t="str">
        <f>INT(L704)&amp;"°"&amp;INT(MOD(L704,1)*60)&amp;"'"&amp;
ROUND(MOD(MOD(L704,1)*60,1)*60,1)&amp;"""E"</f>
        <v>106°33'19.6"E</v>
      </c>
      <c r="Q704" s="1" t="str">
        <f>O704 &amp; " " &amp; P704</f>
        <v>22°50'2.1"N 106°33'19.6"E</v>
      </c>
    </row>
    <row r="705" spans="1:17" ht="15.75" customHeight="1" x14ac:dyDescent="0.2">
      <c r="A705" s="1">
        <v>121</v>
      </c>
      <c r="B705" s="1" t="s">
        <v>466</v>
      </c>
      <c r="C705" s="1" t="s">
        <v>15</v>
      </c>
      <c r="D705" s="1" t="s">
        <v>16</v>
      </c>
      <c r="E705" s="1" t="s">
        <v>462</v>
      </c>
      <c r="F705" s="1" t="s">
        <v>463</v>
      </c>
      <c r="G705" s="1" t="s">
        <v>467</v>
      </c>
      <c r="H705" s="1" t="s">
        <v>468</v>
      </c>
      <c r="I705" s="1" t="s">
        <v>21</v>
      </c>
      <c r="J705" s="1" t="s">
        <v>22</v>
      </c>
      <c r="K705" s="2">
        <v>22.866911999999999</v>
      </c>
      <c r="L705" s="2">
        <v>105.49008805</v>
      </c>
      <c r="M705" s="1" t="s">
        <v>469</v>
      </c>
      <c r="N705" s="1" t="s">
        <v>463</v>
      </c>
      <c r="O705" s="1" t="str">
        <f>INT(K705)&amp;"°"&amp;INT(MOD(K705,1)*60)&amp;"'"&amp;
ROUND(MOD(MOD(K705,1)*60,1)*60,1)&amp;"""N"</f>
        <v>22°52'0.9"N</v>
      </c>
      <c r="P705" s="1" t="str">
        <f>INT(L705)&amp;"°"&amp;INT(MOD(L705,1)*60)&amp;"'"&amp;
ROUND(MOD(MOD(L705,1)*60,1)*60,1)&amp;"""E"</f>
        <v>105°29'24.3"E</v>
      </c>
      <c r="Q705" s="1" t="str">
        <f>O705 &amp; " " &amp; P705</f>
        <v>22°52'0.9"N 105°29'24.3"E</v>
      </c>
    </row>
    <row r="706" spans="1:17" ht="15.75" customHeight="1" x14ac:dyDescent="0.2">
      <c r="A706" s="1">
        <v>120</v>
      </c>
      <c r="B706" s="1" t="s">
        <v>461</v>
      </c>
      <c r="C706" s="1" t="s">
        <v>15</v>
      </c>
      <c r="D706" s="1" t="s">
        <v>16</v>
      </c>
      <c r="E706" s="1" t="s">
        <v>462</v>
      </c>
      <c r="F706" s="1" t="s">
        <v>463</v>
      </c>
      <c r="G706" s="1" t="s">
        <v>464</v>
      </c>
      <c r="H706" s="1" t="s">
        <v>465</v>
      </c>
      <c r="I706" s="1" t="s">
        <v>21</v>
      </c>
      <c r="J706" s="1" t="s">
        <v>22</v>
      </c>
      <c r="K706" s="2">
        <v>22.892729039999999</v>
      </c>
      <c r="L706" s="2">
        <v>105.71239202</v>
      </c>
      <c r="M706" s="1" t="s">
        <v>464</v>
      </c>
      <c r="N706" s="1" t="s">
        <v>463</v>
      </c>
      <c r="O706" s="1" t="str">
        <f>INT(K706)&amp;"°"&amp;INT(MOD(K706,1)*60)&amp;"'"&amp;
ROUND(MOD(MOD(K706,1)*60,1)*60,1)&amp;"""N"</f>
        <v>22°53'33.8"N</v>
      </c>
      <c r="P706" s="1" t="str">
        <f>INT(L706)&amp;"°"&amp;INT(MOD(L706,1)*60)&amp;"'"&amp;
ROUND(MOD(MOD(L706,1)*60,1)*60,1)&amp;"""E"</f>
        <v>105°42'44.6"E</v>
      </c>
      <c r="Q706" s="1" t="str">
        <f>O706 &amp; " " &amp; P706</f>
        <v>22°53'33.8"N 105°42'44.6"E</v>
      </c>
    </row>
    <row r="707" spans="1:17" ht="15.75" customHeight="1" x14ac:dyDescent="0.2">
      <c r="A707" s="1">
        <v>124</v>
      </c>
      <c r="B707" s="1" t="s">
        <v>477</v>
      </c>
      <c r="C707" s="1" t="s">
        <v>15</v>
      </c>
      <c r="D707" s="1" t="s">
        <v>16</v>
      </c>
      <c r="E707" s="1" t="s">
        <v>462</v>
      </c>
      <c r="F707" s="1" t="s">
        <v>463</v>
      </c>
      <c r="G707" s="1" t="s">
        <v>478</v>
      </c>
      <c r="H707" s="1" t="s">
        <v>479</v>
      </c>
      <c r="I707" s="1" t="s">
        <v>21</v>
      </c>
      <c r="J707" s="1" t="s">
        <v>22</v>
      </c>
      <c r="K707" s="2">
        <v>22.907582089999998</v>
      </c>
      <c r="L707" s="2">
        <v>106.11427994</v>
      </c>
      <c r="M707" s="1" t="s">
        <v>480</v>
      </c>
      <c r="N707" s="1" t="s">
        <v>463</v>
      </c>
      <c r="O707" s="1" t="str">
        <f>INT(K707)&amp;"°"&amp;INT(MOD(K707,1)*60)&amp;"'"&amp;
ROUND(MOD(MOD(K707,1)*60,1)*60,1)&amp;"""N"</f>
        <v>22°54'27.3"N</v>
      </c>
      <c r="P707" s="1" t="str">
        <f>INT(L707)&amp;"°"&amp;INT(MOD(L707,1)*60)&amp;"'"&amp;
ROUND(MOD(MOD(L707,1)*60,1)*60,1)&amp;"""E"</f>
        <v>106°6'51.4"E</v>
      </c>
      <c r="Q707" s="1" t="str">
        <f>O707 &amp; " " &amp; P707</f>
        <v>22°54'27.3"N 106°6'51.4"E</v>
      </c>
    </row>
    <row r="708" spans="1:17" ht="15.75" customHeight="1" x14ac:dyDescent="0.2">
      <c r="A708" s="1">
        <v>223</v>
      </c>
      <c r="B708" s="1" t="s">
        <v>835</v>
      </c>
      <c r="C708" s="1" t="s">
        <v>15</v>
      </c>
      <c r="D708" s="1" t="s">
        <v>16</v>
      </c>
      <c r="E708" s="1" t="s">
        <v>799</v>
      </c>
      <c r="F708" s="1" t="s">
        <v>800</v>
      </c>
      <c r="G708" s="1" t="s">
        <v>836</v>
      </c>
      <c r="H708" s="1" t="s">
        <v>837</v>
      </c>
      <c r="I708" s="1" t="s">
        <v>21</v>
      </c>
      <c r="J708" s="1" t="s">
        <v>22</v>
      </c>
      <c r="K708" s="2">
        <v>23.058925720000001</v>
      </c>
      <c r="L708" s="2">
        <v>105.19249594</v>
      </c>
      <c r="M708" s="1" t="s">
        <v>836</v>
      </c>
      <c r="N708" s="1" t="s">
        <v>803</v>
      </c>
      <c r="O708" s="1" t="str">
        <f>INT(K708)&amp;"°"&amp;INT(MOD(K708,1)*60)&amp;"'"&amp;
ROUND(MOD(MOD(K708,1)*60,1)*60,1)&amp;"""N"</f>
        <v>23°3'32.1"N</v>
      </c>
      <c r="P708" s="1" t="str">
        <f>INT(L708)&amp;"°"&amp;INT(MOD(L708,1)*60)&amp;"'"&amp;
ROUND(MOD(MOD(L708,1)*60,1)*60,1)&amp;"""E"</f>
        <v>105°11'33"E</v>
      </c>
      <c r="Q708" s="1" t="str">
        <f>O708 &amp; " " &amp; P708</f>
        <v>23°3'32.1"N 105°11'33"E</v>
      </c>
    </row>
    <row r="709" spans="1:17" ht="15.75" customHeight="1" x14ac:dyDescent="0.2">
      <c r="A709" s="1">
        <v>219</v>
      </c>
      <c r="B709" s="1" t="s">
        <v>821</v>
      </c>
      <c r="C709" s="1" t="s">
        <v>15</v>
      </c>
      <c r="D709" s="1" t="s">
        <v>16</v>
      </c>
      <c r="E709" s="1" t="s">
        <v>799</v>
      </c>
      <c r="F709" s="1" t="s">
        <v>800</v>
      </c>
      <c r="G709" s="1" t="s">
        <v>822</v>
      </c>
      <c r="H709" s="1" t="s">
        <v>823</v>
      </c>
      <c r="I709" s="1" t="s">
        <v>21</v>
      </c>
      <c r="J709" s="1" t="s">
        <v>22</v>
      </c>
      <c r="K709" s="2">
        <v>23.063756390000002</v>
      </c>
      <c r="L709" s="2">
        <v>104.97062963</v>
      </c>
      <c r="M709" s="1" t="s">
        <v>822</v>
      </c>
      <c r="N709" s="1" t="s">
        <v>803</v>
      </c>
      <c r="O709" s="1" t="str">
        <f>INT(K709)&amp;"°"&amp;INT(MOD(K709,1)*60)&amp;"'"&amp;
ROUND(MOD(MOD(K709,1)*60,1)*60,1)&amp;"""N"</f>
        <v>23°3'49.5"N</v>
      </c>
      <c r="P709" s="1" t="str">
        <f>INT(L709)&amp;"°"&amp;INT(MOD(L709,1)*60)&amp;"'"&amp;
ROUND(MOD(MOD(L709,1)*60,1)*60,1)&amp;"""E"</f>
        <v>104°58'14.3"E</v>
      </c>
      <c r="Q709" s="1" t="str">
        <f>O709 &amp; " " &amp; P709</f>
        <v>23°3'49.5"N 104°58'14.3"E</v>
      </c>
    </row>
    <row r="710" spans="1:17" ht="15.75" customHeight="1" x14ac:dyDescent="0.2">
      <c r="A710" s="1">
        <v>218</v>
      </c>
      <c r="B710" s="1" t="s">
        <v>818</v>
      </c>
      <c r="C710" s="1" t="s">
        <v>15</v>
      </c>
      <c r="D710" s="1" t="s">
        <v>16</v>
      </c>
      <c r="E710" s="1" t="s">
        <v>799</v>
      </c>
      <c r="F710" s="1" t="s">
        <v>800</v>
      </c>
      <c r="G710" s="1" t="s">
        <v>819</v>
      </c>
      <c r="H710" s="1" t="s">
        <v>820</v>
      </c>
      <c r="I710" s="1" t="s">
        <v>21</v>
      </c>
      <c r="J710" s="1" t="s">
        <v>22</v>
      </c>
      <c r="K710" s="2">
        <v>23.13737128</v>
      </c>
      <c r="L710" s="2">
        <v>105.42826515</v>
      </c>
      <c r="M710" s="1" t="s">
        <v>819</v>
      </c>
      <c r="N710" s="1" t="s">
        <v>803</v>
      </c>
      <c r="O710" s="1" t="str">
        <f>INT(K710)&amp;"°"&amp;INT(MOD(K710,1)*60)&amp;"'"&amp;
ROUND(MOD(MOD(K710,1)*60,1)*60,1)&amp;"""N"</f>
        <v>23°8'14.5"N</v>
      </c>
      <c r="P710" s="1" t="str">
        <f>INT(L710)&amp;"°"&amp;INT(MOD(L710,1)*60)&amp;"'"&amp;
ROUND(MOD(MOD(L710,1)*60,1)*60,1)&amp;"""E"</f>
        <v>105°25'41.8"E</v>
      </c>
      <c r="Q710" s="1" t="str">
        <f>O710 &amp; " " &amp; P710</f>
        <v>23°8'14.5"N 105°25'41.8"E</v>
      </c>
    </row>
    <row r="711" spans="1:17" ht="15.75" customHeight="1" x14ac:dyDescent="0.2">
      <c r="A711" s="1">
        <v>215</v>
      </c>
      <c r="B711" s="1" t="s">
        <v>808</v>
      </c>
      <c r="C711" s="1" t="s">
        <v>15</v>
      </c>
      <c r="D711" s="1" t="s">
        <v>16</v>
      </c>
      <c r="E711" s="1" t="s">
        <v>799</v>
      </c>
      <c r="F711" s="1" t="s">
        <v>800</v>
      </c>
      <c r="G711" s="1" t="s">
        <v>809</v>
      </c>
      <c r="H711" s="1" t="s">
        <v>810</v>
      </c>
      <c r="I711" s="1" t="s">
        <v>21</v>
      </c>
      <c r="J711" s="1" t="s">
        <v>22</v>
      </c>
      <c r="K711" s="2">
        <v>23.236523940000001</v>
      </c>
      <c r="L711" s="2">
        <v>105.26901046</v>
      </c>
      <c r="M711" s="1" t="s">
        <v>811</v>
      </c>
      <c r="N711" s="1" t="s">
        <v>803</v>
      </c>
      <c r="O711" s="1" t="str">
        <f>INT(K711)&amp;"°"&amp;INT(MOD(K711,1)*60)&amp;"'"&amp;
ROUND(MOD(MOD(K711,1)*60,1)*60,1)&amp;"""N"</f>
        <v>23°14'11.5"N</v>
      </c>
      <c r="P711" s="1" t="str">
        <f>INT(L711)&amp;"°"&amp;INT(MOD(L711,1)*60)&amp;"'"&amp;
ROUND(MOD(MOD(L711,1)*60,1)*60,1)&amp;"""E"</f>
        <v>105°16'8.4"E</v>
      </c>
      <c r="Q711" s="1" t="str">
        <f>O711 &amp; " " &amp; P711</f>
        <v>23°14'11.5"N 105°16'8.4"E</v>
      </c>
    </row>
    <row r="712" spans="1:17" ht="15.75" customHeight="1" x14ac:dyDescent="0.2"/>
    <row r="713" spans="1:17" ht="15.75" customHeight="1" x14ac:dyDescent="0.2"/>
    <row r="714" spans="1:17" ht="15.75" customHeight="1" x14ac:dyDescent="0.2"/>
    <row r="715" spans="1:17" ht="15.75" customHeight="1" x14ac:dyDescent="0.2"/>
    <row r="716" spans="1:17" ht="15.75" customHeight="1" x14ac:dyDescent="0.2"/>
    <row r="717" spans="1:17" ht="15.75" customHeight="1" x14ac:dyDescent="0.2"/>
    <row r="718" spans="1:17" ht="15.75" customHeight="1" x14ac:dyDescent="0.2"/>
    <row r="719" spans="1:17" ht="15.75" customHeight="1" x14ac:dyDescent="0.2"/>
    <row r="720" spans="1:17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581D-B851-46F4-937B-EDD9764B5AF0}">
  <dimension ref="A1:D460"/>
  <sheetViews>
    <sheetView topLeftCell="A417" workbookViewId="0">
      <selection activeCell="B461" sqref="B461"/>
    </sheetView>
  </sheetViews>
  <sheetFormatPr defaultRowHeight="12.75" x14ac:dyDescent="0.2"/>
  <cols>
    <col min="3" max="3" width="18.140625" customWidth="1"/>
    <col min="4" max="4" width="16.140625" customWidth="1"/>
  </cols>
  <sheetData>
    <row r="1" spans="1:4" x14ac:dyDescent="0.2">
      <c r="A1" t="s">
        <v>10</v>
      </c>
      <c r="B1" t="s">
        <v>11</v>
      </c>
      <c r="C1" t="s">
        <v>2564</v>
      </c>
      <c r="D1" t="s">
        <v>2565</v>
      </c>
    </row>
    <row r="2" spans="1:4" x14ac:dyDescent="0.2">
      <c r="A2">
        <v>8.75</v>
      </c>
      <c r="B2">
        <v>105</v>
      </c>
      <c r="C2" t="s">
        <v>411</v>
      </c>
      <c r="D2" t="s">
        <v>169</v>
      </c>
    </row>
    <row r="3" spans="1:4" x14ac:dyDescent="0.2">
      <c r="A3">
        <v>9</v>
      </c>
      <c r="B3">
        <v>105</v>
      </c>
      <c r="C3" t="s">
        <v>406</v>
      </c>
      <c r="D3" t="s">
        <v>169</v>
      </c>
    </row>
    <row r="4" spans="1:4" x14ac:dyDescent="0.2">
      <c r="A4">
        <v>9</v>
      </c>
      <c r="B4">
        <v>105.25</v>
      </c>
      <c r="C4" t="s">
        <v>408</v>
      </c>
      <c r="D4" t="s">
        <v>169</v>
      </c>
    </row>
    <row r="5" spans="1:4" x14ac:dyDescent="0.2">
      <c r="A5">
        <v>9.25</v>
      </c>
      <c r="B5">
        <v>105</v>
      </c>
      <c r="C5" t="s">
        <v>2566</v>
      </c>
      <c r="D5" t="s">
        <v>169</v>
      </c>
    </row>
    <row r="6" spans="1:4" x14ac:dyDescent="0.2">
      <c r="A6">
        <v>9.25</v>
      </c>
      <c r="B6">
        <v>105.25</v>
      </c>
      <c r="C6" t="s">
        <v>2567</v>
      </c>
      <c r="D6" t="s">
        <v>169</v>
      </c>
    </row>
    <row r="7" spans="1:4" x14ac:dyDescent="0.2">
      <c r="A7">
        <v>9.25</v>
      </c>
      <c r="B7">
        <v>105.5</v>
      </c>
      <c r="C7" t="s">
        <v>2568</v>
      </c>
      <c r="D7" t="s">
        <v>169</v>
      </c>
    </row>
    <row r="8" spans="1:4" x14ac:dyDescent="0.2">
      <c r="A8">
        <v>9.25</v>
      </c>
      <c r="B8">
        <v>105.75</v>
      </c>
      <c r="C8" t="s">
        <v>2569</v>
      </c>
      <c r="D8" t="s">
        <v>169</v>
      </c>
    </row>
    <row r="9" spans="1:4" x14ac:dyDescent="0.2">
      <c r="A9">
        <v>9.5</v>
      </c>
      <c r="B9">
        <v>105</v>
      </c>
      <c r="C9" t="s">
        <v>2570</v>
      </c>
      <c r="D9" t="s">
        <v>169</v>
      </c>
    </row>
    <row r="10" spans="1:4" x14ac:dyDescent="0.2">
      <c r="A10">
        <v>9.5</v>
      </c>
      <c r="B10">
        <v>105.25</v>
      </c>
      <c r="C10" t="s">
        <v>2571</v>
      </c>
      <c r="D10" t="s">
        <v>18</v>
      </c>
    </row>
    <row r="11" spans="1:4" x14ac:dyDescent="0.2">
      <c r="A11">
        <v>9.5</v>
      </c>
      <c r="B11">
        <v>105.5</v>
      </c>
      <c r="C11" t="s">
        <v>2572</v>
      </c>
      <c r="D11" t="s">
        <v>169</v>
      </c>
    </row>
    <row r="12" spans="1:4" x14ac:dyDescent="0.2">
      <c r="A12">
        <v>9.5</v>
      </c>
      <c r="B12">
        <v>105.75</v>
      </c>
      <c r="C12" t="s">
        <v>2573</v>
      </c>
      <c r="D12" t="s">
        <v>431</v>
      </c>
    </row>
    <row r="13" spans="1:4" x14ac:dyDescent="0.2">
      <c r="A13">
        <v>9.5</v>
      </c>
      <c r="B13">
        <v>106</v>
      </c>
      <c r="C13" t="s">
        <v>2574</v>
      </c>
      <c r="D13" t="s">
        <v>431</v>
      </c>
    </row>
    <row r="14" spans="1:4" x14ac:dyDescent="0.2">
      <c r="A14">
        <v>9.5</v>
      </c>
      <c r="B14">
        <v>106.25</v>
      </c>
      <c r="C14" t="s">
        <v>2086</v>
      </c>
      <c r="D14" t="s">
        <v>431</v>
      </c>
    </row>
    <row r="15" spans="1:4" x14ac:dyDescent="0.2">
      <c r="A15">
        <v>9.75</v>
      </c>
      <c r="B15">
        <v>105</v>
      </c>
      <c r="C15" t="s">
        <v>1816</v>
      </c>
      <c r="D15" t="s">
        <v>18</v>
      </c>
    </row>
    <row r="16" spans="1:4" x14ac:dyDescent="0.2">
      <c r="A16">
        <v>9.75</v>
      </c>
      <c r="B16">
        <v>105.25</v>
      </c>
      <c r="C16" t="s">
        <v>2575</v>
      </c>
      <c r="D16" t="s">
        <v>18</v>
      </c>
    </row>
    <row r="17" spans="1:4" x14ac:dyDescent="0.2">
      <c r="A17">
        <v>9.75</v>
      </c>
      <c r="B17">
        <v>105.5</v>
      </c>
      <c r="C17" t="s">
        <v>2576</v>
      </c>
      <c r="D17" t="s">
        <v>431</v>
      </c>
    </row>
    <row r="18" spans="1:4" x14ac:dyDescent="0.2">
      <c r="A18">
        <v>9.75</v>
      </c>
      <c r="B18">
        <v>105.75</v>
      </c>
      <c r="C18" t="s">
        <v>2577</v>
      </c>
      <c r="D18" t="s">
        <v>431</v>
      </c>
    </row>
    <row r="19" spans="1:4" x14ac:dyDescent="0.2">
      <c r="A19">
        <v>9.75</v>
      </c>
      <c r="B19">
        <v>106</v>
      </c>
      <c r="C19" t="s">
        <v>2578</v>
      </c>
      <c r="D19" t="s">
        <v>431</v>
      </c>
    </row>
    <row r="20" spans="1:4" x14ac:dyDescent="0.2">
      <c r="A20">
        <v>9.75</v>
      </c>
      <c r="B20">
        <v>106.25</v>
      </c>
      <c r="C20" t="s">
        <v>2579</v>
      </c>
      <c r="D20" t="s">
        <v>221</v>
      </c>
    </row>
    <row r="21" spans="1:4" x14ac:dyDescent="0.2">
      <c r="A21">
        <v>9.75</v>
      </c>
      <c r="B21">
        <v>106.5</v>
      </c>
      <c r="C21" t="s">
        <v>2580</v>
      </c>
      <c r="D21" t="s">
        <v>221</v>
      </c>
    </row>
    <row r="22" spans="1:4" x14ac:dyDescent="0.2">
      <c r="A22">
        <v>10</v>
      </c>
      <c r="B22">
        <v>105.25</v>
      </c>
      <c r="C22" t="s">
        <v>1366</v>
      </c>
      <c r="D22" t="s">
        <v>18</v>
      </c>
    </row>
    <row r="23" spans="1:4" x14ac:dyDescent="0.2">
      <c r="A23">
        <v>10</v>
      </c>
      <c r="B23">
        <v>105.5</v>
      </c>
      <c r="C23" t="s">
        <v>2581</v>
      </c>
      <c r="D23" t="s">
        <v>431</v>
      </c>
    </row>
    <row r="24" spans="1:4" x14ac:dyDescent="0.2">
      <c r="A24">
        <v>10</v>
      </c>
      <c r="B24">
        <v>105.75</v>
      </c>
      <c r="C24" t="s">
        <v>438</v>
      </c>
      <c r="D24" t="s">
        <v>431</v>
      </c>
    </row>
    <row r="25" spans="1:4" x14ac:dyDescent="0.2">
      <c r="A25">
        <v>10</v>
      </c>
      <c r="B25">
        <v>106</v>
      </c>
      <c r="C25" t="s">
        <v>2490</v>
      </c>
      <c r="D25" t="s">
        <v>221</v>
      </c>
    </row>
    <row r="26" spans="1:4" x14ac:dyDescent="0.2">
      <c r="A26">
        <v>10</v>
      </c>
      <c r="B26">
        <v>106.25</v>
      </c>
      <c r="C26" t="s">
        <v>2582</v>
      </c>
      <c r="D26" t="s">
        <v>221</v>
      </c>
    </row>
    <row r="27" spans="1:4" x14ac:dyDescent="0.2">
      <c r="A27">
        <v>10</v>
      </c>
      <c r="B27">
        <v>106.5</v>
      </c>
      <c r="C27" t="s">
        <v>246</v>
      </c>
      <c r="D27" t="s">
        <v>221</v>
      </c>
    </row>
    <row r="28" spans="1:4" x14ac:dyDescent="0.2">
      <c r="A28">
        <v>10.25</v>
      </c>
      <c r="B28">
        <v>104</v>
      </c>
      <c r="C28" t="s">
        <v>1358</v>
      </c>
      <c r="D28" t="s">
        <v>18</v>
      </c>
    </row>
    <row r="29" spans="1:4" x14ac:dyDescent="0.2">
      <c r="A29">
        <v>10.25</v>
      </c>
      <c r="B29">
        <v>104.75</v>
      </c>
      <c r="C29" t="s">
        <v>1016</v>
      </c>
      <c r="D29" t="s">
        <v>18</v>
      </c>
    </row>
    <row r="30" spans="1:4" x14ac:dyDescent="0.2">
      <c r="A30">
        <v>10.25</v>
      </c>
      <c r="B30">
        <v>105</v>
      </c>
      <c r="C30" t="s">
        <v>1348</v>
      </c>
      <c r="D30" t="s">
        <v>18</v>
      </c>
    </row>
    <row r="31" spans="1:4" x14ac:dyDescent="0.2">
      <c r="A31">
        <v>10.25</v>
      </c>
      <c r="B31">
        <v>105.25</v>
      </c>
      <c r="C31" t="s">
        <v>57</v>
      </c>
      <c r="D31" t="s">
        <v>18</v>
      </c>
    </row>
    <row r="32" spans="1:4" x14ac:dyDescent="0.2">
      <c r="A32">
        <v>10.25</v>
      </c>
      <c r="B32">
        <v>105.5</v>
      </c>
      <c r="C32" t="s">
        <v>2583</v>
      </c>
      <c r="D32" t="s">
        <v>431</v>
      </c>
    </row>
    <row r="33" spans="1:4" x14ac:dyDescent="0.2">
      <c r="A33">
        <v>10.25</v>
      </c>
      <c r="B33">
        <v>105.75</v>
      </c>
      <c r="C33" t="s">
        <v>2584</v>
      </c>
      <c r="D33" t="s">
        <v>702</v>
      </c>
    </row>
    <row r="34" spans="1:4" x14ac:dyDescent="0.2">
      <c r="A34">
        <v>10.25</v>
      </c>
      <c r="B34">
        <v>106</v>
      </c>
      <c r="C34" t="s">
        <v>2585</v>
      </c>
      <c r="D34" t="s">
        <v>221</v>
      </c>
    </row>
    <row r="35" spans="1:4" x14ac:dyDescent="0.2">
      <c r="A35">
        <v>10.25</v>
      </c>
      <c r="B35">
        <v>106.25</v>
      </c>
      <c r="C35" t="s">
        <v>2586</v>
      </c>
      <c r="D35" t="s">
        <v>221</v>
      </c>
    </row>
    <row r="36" spans="1:4" x14ac:dyDescent="0.2">
      <c r="A36">
        <v>10.25</v>
      </c>
      <c r="B36">
        <v>106.5</v>
      </c>
      <c r="C36" t="s">
        <v>2587</v>
      </c>
      <c r="D36" t="s">
        <v>221</v>
      </c>
    </row>
    <row r="37" spans="1:4" x14ac:dyDescent="0.2">
      <c r="A37">
        <v>10.25</v>
      </c>
      <c r="B37">
        <v>106.75</v>
      </c>
      <c r="C37" t="s">
        <v>2411</v>
      </c>
      <c r="D37" t="s">
        <v>702</v>
      </c>
    </row>
    <row r="38" spans="1:4" x14ac:dyDescent="0.2">
      <c r="A38">
        <v>10.5</v>
      </c>
      <c r="B38">
        <v>104.75</v>
      </c>
      <c r="C38" t="s">
        <v>1336</v>
      </c>
      <c r="D38" t="s">
        <v>18</v>
      </c>
    </row>
    <row r="39" spans="1:4" x14ac:dyDescent="0.2">
      <c r="A39">
        <v>10.5</v>
      </c>
      <c r="B39">
        <v>105</v>
      </c>
      <c r="C39" t="s">
        <v>2588</v>
      </c>
      <c r="D39" t="s">
        <v>18</v>
      </c>
    </row>
    <row r="40" spans="1:4" x14ac:dyDescent="0.2">
      <c r="A40">
        <v>10.5</v>
      </c>
      <c r="B40">
        <v>105.25</v>
      </c>
      <c r="C40" t="s">
        <v>2589</v>
      </c>
      <c r="D40" t="s">
        <v>18</v>
      </c>
    </row>
    <row r="41" spans="1:4" x14ac:dyDescent="0.2">
      <c r="A41">
        <v>10.5</v>
      </c>
      <c r="B41">
        <v>105.5</v>
      </c>
      <c r="C41" t="s">
        <v>41</v>
      </c>
      <c r="D41" t="s">
        <v>18</v>
      </c>
    </row>
    <row r="42" spans="1:4" x14ac:dyDescent="0.2">
      <c r="A42">
        <v>10.5</v>
      </c>
      <c r="B42">
        <v>105.75</v>
      </c>
      <c r="C42" t="s">
        <v>2590</v>
      </c>
      <c r="D42" t="s">
        <v>702</v>
      </c>
    </row>
    <row r="43" spans="1:4" x14ac:dyDescent="0.2">
      <c r="A43">
        <v>10.5</v>
      </c>
      <c r="B43">
        <v>106</v>
      </c>
      <c r="C43" t="s">
        <v>2591</v>
      </c>
      <c r="D43" t="s">
        <v>702</v>
      </c>
    </row>
    <row r="44" spans="1:4" x14ac:dyDescent="0.2">
      <c r="A44">
        <v>10.5</v>
      </c>
      <c r="B44">
        <v>106.25</v>
      </c>
      <c r="C44" t="s">
        <v>2415</v>
      </c>
      <c r="D44" t="s">
        <v>702</v>
      </c>
    </row>
    <row r="45" spans="1:4" x14ac:dyDescent="0.2">
      <c r="A45">
        <v>10.5</v>
      </c>
      <c r="B45">
        <v>106.5</v>
      </c>
      <c r="C45" t="s">
        <v>1573</v>
      </c>
      <c r="D45" t="s">
        <v>1564</v>
      </c>
    </row>
    <row r="46" spans="1:4" x14ac:dyDescent="0.2">
      <c r="A46">
        <v>10.5</v>
      </c>
      <c r="B46">
        <v>106.75</v>
      </c>
      <c r="C46" t="s">
        <v>2592</v>
      </c>
      <c r="D46" t="s">
        <v>73</v>
      </c>
    </row>
    <row r="47" spans="1:4" x14ac:dyDescent="0.2">
      <c r="A47">
        <v>10.5</v>
      </c>
      <c r="B47">
        <v>107</v>
      </c>
      <c r="C47" t="s">
        <v>87</v>
      </c>
      <c r="D47" t="s">
        <v>73</v>
      </c>
    </row>
    <row r="48" spans="1:4" x14ac:dyDescent="0.2">
      <c r="A48">
        <v>10.5</v>
      </c>
      <c r="B48">
        <v>107.25</v>
      </c>
      <c r="C48" t="s">
        <v>82</v>
      </c>
      <c r="D48" t="s">
        <v>73</v>
      </c>
    </row>
    <row r="49" spans="1:4" x14ac:dyDescent="0.2">
      <c r="A49">
        <v>10.5</v>
      </c>
      <c r="B49">
        <v>107.5</v>
      </c>
      <c r="C49" t="s">
        <v>2593</v>
      </c>
      <c r="D49" t="s">
        <v>73</v>
      </c>
    </row>
    <row r="50" spans="1:4" x14ac:dyDescent="0.2">
      <c r="A50">
        <v>10.75</v>
      </c>
      <c r="B50">
        <v>105.25</v>
      </c>
      <c r="C50" t="s">
        <v>51</v>
      </c>
      <c r="D50" t="s">
        <v>18</v>
      </c>
    </row>
    <row r="51" spans="1:4" x14ac:dyDescent="0.2">
      <c r="A51">
        <v>10.75</v>
      </c>
      <c r="B51">
        <v>105.5</v>
      </c>
      <c r="C51" t="s">
        <v>726</v>
      </c>
      <c r="D51" t="s">
        <v>702</v>
      </c>
    </row>
    <row r="52" spans="1:4" x14ac:dyDescent="0.2">
      <c r="A52">
        <v>10.75</v>
      </c>
      <c r="B52">
        <v>105.75</v>
      </c>
      <c r="C52" t="s">
        <v>2117</v>
      </c>
      <c r="D52" t="s">
        <v>1564</v>
      </c>
    </row>
    <row r="53" spans="1:4" x14ac:dyDescent="0.2">
      <c r="A53">
        <v>10.75</v>
      </c>
      <c r="B53">
        <v>106</v>
      </c>
      <c r="C53" t="s">
        <v>1589</v>
      </c>
      <c r="D53" t="s">
        <v>1564</v>
      </c>
    </row>
    <row r="54" spans="1:4" x14ac:dyDescent="0.2">
      <c r="A54">
        <v>10.75</v>
      </c>
      <c r="B54">
        <v>106.25</v>
      </c>
      <c r="C54" t="s">
        <v>2469</v>
      </c>
      <c r="D54" t="s">
        <v>1564</v>
      </c>
    </row>
    <row r="55" spans="1:4" x14ac:dyDescent="0.2">
      <c r="A55">
        <v>10.75</v>
      </c>
      <c r="B55">
        <v>106.5</v>
      </c>
      <c r="C55" t="s">
        <v>2594</v>
      </c>
      <c r="D55" t="s">
        <v>73</v>
      </c>
    </row>
    <row r="56" spans="1:4" x14ac:dyDescent="0.2">
      <c r="A56">
        <v>10.75</v>
      </c>
      <c r="B56">
        <v>106.75</v>
      </c>
      <c r="C56" t="s">
        <v>1184</v>
      </c>
      <c r="D56" t="s">
        <v>73</v>
      </c>
    </row>
    <row r="57" spans="1:4" x14ac:dyDescent="0.2">
      <c r="A57">
        <v>10.75</v>
      </c>
      <c r="B57">
        <v>107</v>
      </c>
      <c r="C57" t="s">
        <v>675</v>
      </c>
      <c r="D57" t="s">
        <v>330</v>
      </c>
    </row>
    <row r="58" spans="1:4" x14ac:dyDescent="0.2">
      <c r="A58">
        <v>10.75</v>
      </c>
      <c r="B58">
        <v>107.25</v>
      </c>
      <c r="C58" t="s">
        <v>75</v>
      </c>
      <c r="D58" t="s">
        <v>73</v>
      </c>
    </row>
    <row r="59" spans="1:4" x14ac:dyDescent="0.2">
      <c r="A59">
        <v>10.75</v>
      </c>
      <c r="B59">
        <v>107.5</v>
      </c>
      <c r="C59" t="s">
        <v>2595</v>
      </c>
      <c r="D59" t="s">
        <v>73</v>
      </c>
    </row>
    <row r="60" spans="1:4" x14ac:dyDescent="0.2">
      <c r="A60">
        <v>10.75</v>
      </c>
      <c r="B60">
        <v>107.75</v>
      </c>
      <c r="C60" t="s">
        <v>374</v>
      </c>
      <c r="D60" t="s">
        <v>369</v>
      </c>
    </row>
    <row r="61" spans="1:4" x14ac:dyDescent="0.2">
      <c r="A61">
        <v>10.75</v>
      </c>
      <c r="B61">
        <v>108</v>
      </c>
      <c r="C61" t="s">
        <v>85</v>
      </c>
      <c r="D61" t="s">
        <v>369</v>
      </c>
    </row>
    <row r="62" spans="1:4" x14ac:dyDescent="0.2">
      <c r="A62">
        <v>11</v>
      </c>
      <c r="B62">
        <v>105.75</v>
      </c>
      <c r="C62" t="s">
        <v>425</v>
      </c>
      <c r="D62" t="s">
        <v>1564</v>
      </c>
    </row>
    <row r="63" spans="1:4" x14ac:dyDescent="0.2">
      <c r="A63">
        <v>11</v>
      </c>
      <c r="B63">
        <v>106.25</v>
      </c>
      <c r="C63" t="s">
        <v>2596</v>
      </c>
      <c r="D63" t="s">
        <v>1564</v>
      </c>
    </row>
    <row r="64" spans="1:4" x14ac:dyDescent="0.2">
      <c r="A64">
        <v>11</v>
      </c>
      <c r="B64">
        <v>106.5</v>
      </c>
      <c r="C64" t="s">
        <v>2597</v>
      </c>
      <c r="D64" t="s">
        <v>73</v>
      </c>
    </row>
    <row r="65" spans="1:4" x14ac:dyDescent="0.2">
      <c r="A65">
        <v>11</v>
      </c>
      <c r="B65">
        <v>106.75</v>
      </c>
      <c r="C65" t="s">
        <v>2598</v>
      </c>
      <c r="D65" t="s">
        <v>73</v>
      </c>
    </row>
    <row r="66" spans="1:4" x14ac:dyDescent="0.2">
      <c r="A66">
        <v>11</v>
      </c>
      <c r="B66">
        <v>107</v>
      </c>
      <c r="C66" t="s">
        <v>2185</v>
      </c>
      <c r="D66" t="s">
        <v>330</v>
      </c>
    </row>
    <row r="67" spans="1:4" x14ac:dyDescent="0.2">
      <c r="A67">
        <v>11</v>
      </c>
      <c r="B67">
        <v>107.25</v>
      </c>
      <c r="C67" t="s">
        <v>673</v>
      </c>
      <c r="D67" t="s">
        <v>330</v>
      </c>
    </row>
    <row r="68" spans="1:4" x14ac:dyDescent="0.2">
      <c r="A68">
        <v>11</v>
      </c>
      <c r="B68">
        <v>107.5</v>
      </c>
      <c r="C68" t="s">
        <v>2599</v>
      </c>
      <c r="D68" t="s">
        <v>330</v>
      </c>
    </row>
    <row r="69" spans="1:4" x14ac:dyDescent="0.2">
      <c r="A69">
        <v>11</v>
      </c>
      <c r="B69">
        <v>107.75</v>
      </c>
      <c r="C69" t="s">
        <v>394</v>
      </c>
      <c r="D69" t="s">
        <v>369</v>
      </c>
    </row>
    <row r="70" spans="1:4" x14ac:dyDescent="0.2">
      <c r="A70">
        <v>11</v>
      </c>
      <c r="B70">
        <v>108</v>
      </c>
      <c r="C70" t="s">
        <v>2600</v>
      </c>
      <c r="D70" t="s">
        <v>369</v>
      </c>
    </row>
    <row r="71" spans="1:4" x14ac:dyDescent="0.2">
      <c r="A71">
        <v>11</v>
      </c>
      <c r="B71">
        <v>108.25</v>
      </c>
      <c r="C71" t="s">
        <v>2601</v>
      </c>
      <c r="D71" t="s">
        <v>369</v>
      </c>
    </row>
    <row r="72" spans="1:4" x14ac:dyDescent="0.2">
      <c r="A72">
        <v>11.25</v>
      </c>
      <c r="B72">
        <v>106</v>
      </c>
      <c r="C72" t="s">
        <v>2602</v>
      </c>
      <c r="D72" t="s">
        <v>1564</v>
      </c>
    </row>
    <row r="73" spans="1:4" x14ac:dyDescent="0.2">
      <c r="A73">
        <v>11.25</v>
      </c>
      <c r="B73">
        <v>106.25</v>
      </c>
      <c r="C73" t="s">
        <v>2603</v>
      </c>
      <c r="D73" t="s">
        <v>1564</v>
      </c>
    </row>
    <row r="74" spans="1:4" x14ac:dyDescent="0.2">
      <c r="A74">
        <v>11.25</v>
      </c>
      <c r="B74">
        <v>106.5</v>
      </c>
      <c r="C74" t="s">
        <v>2604</v>
      </c>
      <c r="D74" t="s">
        <v>73</v>
      </c>
    </row>
    <row r="75" spans="1:4" x14ac:dyDescent="0.2">
      <c r="A75">
        <v>11.25</v>
      </c>
      <c r="B75">
        <v>106.75</v>
      </c>
      <c r="C75" t="s">
        <v>2605</v>
      </c>
      <c r="D75" t="s">
        <v>73</v>
      </c>
    </row>
    <row r="76" spans="1:4" x14ac:dyDescent="0.2">
      <c r="A76">
        <v>11.25</v>
      </c>
      <c r="B76">
        <v>107</v>
      </c>
      <c r="C76" t="s">
        <v>696</v>
      </c>
      <c r="D76" t="s">
        <v>330</v>
      </c>
    </row>
    <row r="77" spans="1:4" x14ac:dyDescent="0.2">
      <c r="A77">
        <v>11.25</v>
      </c>
      <c r="B77">
        <v>107.25</v>
      </c>
      <c r="C77" t="s">
        <v>1799</v>
      </c>
      <c r="D77" t="s">
        <v>330</v>
      </c>
    </row>
    <row r="78" spans="1:4" x14ac:dyDescent="0.2">
      <c r="A78">
        <v>11.25</v>
      </c>
      <c r="B78">
        <v>107.5</v>
      </c>
      <c r="C78" t="s">
        <v>2606</v>
      </c>
      <c r="D78" t="s">
        <v>330</v>
      </c>
    </row>
    <row r="79" spans="1:4" x14ac:dyDescent="0.2">
      <c r="A79">
        <v>11.25</v>
      </c>
      <c r="B79">
        <v>107.75</v>
      </c>
      <c r="C79" t="s">
        <v>2607</v>
      </c>
      <c r="D79" t="s">
        <v>330</v>
      </c>
    </row>
    <row r="80" spans="1:4" x14ac:dyDescent="0.2">
      <c r="A80">
        <v>11.25</v>
      </c>
      <c r="B80">
        <v>108</v>
      </c>
      <c r="C80" t="s">
        <v>1899</v>
      </c>
      <c r="D80" t="s">
        <v>330</v>
      </c>
    </row>
    <row r="81" spans="1:4" x14ac:dyDescent="0.2">
      <c r="A81">
        <v>11.25</v>
      </c>
      <c r="B81">
        <v>108.25</v>
      </c>
      <c r="C81" t="s">
        <v>2608</v>
      </c>
      <c r="D81" t="s">
        <v>369</v>
      </c>
    </row>
    <row r="82" spans="1:4" x14ac:dyDescent="0.2">
      <c r="A82">
        <v>11.25</v>
      </c>
      <c r="B82">
        <v>108.5</v>
      </c>
      <c r="C82" t="s">
        <v>2609</v>
      </c>
      <c r="D82" t="s">
        <v>369</v>
      </c>
    </row>
    <row r="83" spans="1:4" x14ac:dyDescent="0.2">
      <c r="A83">
        <v>11.25</v>
      </c>
      <c r="B83">
        <v>108.75</v>
      </c>
      <c r="C83" t="s">
        <v>398</v>
      </c>
      <c r="D83" t="s">
        <v>369</v>
      </c>
    </row>
    <row r="84" spans="1:4" x14ac:dyDescent="0.2">
      <c r="A84">
        <v>11.5</v>
      </c>
      <c r="B84">
        <v>106</v>
      </c>
      <c r="C84" t="s">
        <v>2610</v>
      </c>
      <c r="D84" t="s">
        <v>1564</v>
      </c>
    </row>
    <row r="85" spans="1:4" x14ac:dyDescent="0.2">
      <c r="A85">
        <v>11.5</v>
      </c>
      <c r="B85">
        <v>106.25</v>
      </c>
      <c r="C85" t="s">
        <v>85</v>
      </c>
      <c r="D85" t="s">
        <v>1564</v>
      </c>
    </row>
    <row r="86" spans="1:4" x14ac:dyDescent="0.2">
      <c r="A86">
        <v>11.5</v>
      </c>
      <c r="B86">
        <v>106.5</v>
      </c>
      <c r="C86" t="s">
        <v>2611</v>
      </c>
      <c r="D86" t="s">
        <v>330</v>
      </c>
    </row>
    <row r="87" spans="1:4" x14ac:dyDescent="0.2">
      <c r="A87">
        <v>11.5</v>
      </c>
      <c r="B87">
        <v>106.75</v>
      </c>
      <c r="C87" t="s">
        <v>2612</v>
      </c>
      <c r="D87" t="s">
        <v>330</v>
      </c>
    </row>
    <row r="88" spans="1:4" x14ac:dyDescent="0.2">
      <c r="A88">
        <v>11.5</v>
      </c>
      <c r="B88">
        <v>107</v>
      </c>
      <c r="C88" t="s">
        <v>348</v>
      </c>
      <c r="D88" t="s">
        <v>330</v>
      </c>
    </row>
    <row r="89" spans="1:4" x14ac:dyDescent="0.2">
      <c r="A89">
        <v>11.5</v>
      </c>
      <c r="B89">
        <v>107.25</v>
      </c>
      <c r="C89" t="s">
        <v>2613</v>
      </c>
      <c r="D89" t="s">
        <v>330</v>
      </c>
    </row>
    <row r="90" spans="1:4" x14ac:dyDescent="0.2">
      <c r="A90">
        <v>11.5</v>
      </c>
      <c r="B90">
        <v>107.5</v>
      </c>
      <c r="C90" t="s">
        <v>2614</v>
      </c>
      <c r="D90" t="s">
        <v>369</v>
      </c>
    </row>
    <row r="91" spans="1:4" x14ac:dyDescent="0.2">
      <c r="A91">
        <v>11.5</v>
      </c>
      <c r="B91">
        <v>107.75</v>
      </c>
      <c r="C91" t="s">
        <v>1447</v>
      </c>
      <c r="D91" t="s">
        <v>369</v>
      </c>
    </row>
    <row r="92" spans="1:4" x14ac:dyDescent="0.2">
      <c r="A92">
        <v>11.5</v>
      </c>
      <c r="B92">
        <v>108</v>
      </c>
      <c r="C92" t="s">
        <v>1469</v>
      </c>
      <c r="D92" t="s">
        <v>369</v>
      </c>
    </row>
    <row r="93" spans="1:4" x14ac:dyDescent="0.2">
      <c r="A93">
        <v>11.5</v>
      </c>
      <c r="B93">
        <v>108.25</v>
      </c>
      <c r="C93" t="s">
        <v>2615</v>
      </c>
      <c r="D93" t="s">
        <v>369</v>
      </c>
    </row>
    <row r="94" spans="1:4" x14ac:dyDescent="0.2">
      <c r="A94">
        <v>11.5</v>
      </c>
      <c r="B94">
        <v>108.5</v>
      </c>
      <c r="C94" t="s">
        <v>2616</v>
      </c>
      <c r="D94" t="s">
        <v>369</v>
      </c>
    </row>
    <row r="95" spans="1:4" x14ac:dyDescent="0.2">
      <c r="A95">
        <v>11.5</v>
      </c>
      <c r="B95">
        <v>108.75</v>
      </c>
      <c r="C95" t="s">
        <v>2617</v>
      </c>
      <c r="D95" t="s">
        <v>1297</v>
      </c>
    </row>
    <row r="96" spans="1:4" x14ac:dyDescent="0.2">
      <c r="A96">
        <v>11.5</v>
      </c>
      <c r="B96">
        <v>109</v>
      </c>
      <c r="C96" t="s">
        <v>2618</v>
      </c>
      <c r="D96" t="s">
        <v>1297</v>
      </c>
    </row>
    <row r="97" spans="1:4" x14ac:dyDescent="0.2">
      <c r="A97">
        <v>11.75</v>
      </c>
      <c r="B97">
        <v>106.5</v>
      </c>
      <c r="C97" t="s">
        <v>2619</v>
      </c>
      <c r="D97" t="s">
        <v>330</v>
      </c>
    </row>
    <row r="98" spans="1:4" x14ac:dyDescent="0.2">
      <c r="A98">
        <v>11.75</v>
      </c>
      <c r="B98">
        <v>106.75</v>
      </c>
      <c r="C98" t="s">
        <v>406</v>
      </c>
      <c r="D98" t="s">
        <v>330</v>
      </c>
    </row>
    <row r="99" spans="1:4" x14ac:dyDescent="0.2">
      <c r="A99">
        <v>11.75</v>
      </c>
      <c r="B99">
        <v>107</v>
      </c>
      <c r="C99" t="s">
        <v>2620</v>
      </c>
      <c r="D99" t="s">
        <v>330</v>
      </c>
    </row>
    <row r="100" spans="1:4" x14ac:dyDescent="0.2">
      <c r="A100">
        <v>11.75</v>
      </c>
      <c r="B100">
        <v>107.25</v>
      </c>
      <c r="C100" t="s">
        <v>1929</v>
      </c>
      <c r="D100" t="s">
        <v>330</v>
      </c>
    </row>
    <row r="101" spans="1:4" x14ac:dyDescent="0.2">
      <c r="A101">
        <v>11.75</v>
      </c>
      <c r="B101">
        <v>107.5</v>
      </c>
      <c r="C101" t="s">
        <v>1451</v>
      </c>
      <c r="D101" t="s">
        <v>369</v>
      </c>
    </row>
    <row r="102" spans="1:4" x14ac:dyDescent="0.2">
      <c r="A102">
        <v>11.75</v>
      </c>
      <c r="B102">
        <v>107.75</v>
      </c>
      <c r="C102" t="s">
        <v>1443</v>
      </c>
      <c r="D102" t="s">
        <v>369</v>
      </c>
    </row>
    <row r="103" spans="1:4" x14ac:dyDescent="0.2">
      <c r="A103">
        <v>11.75</v>
      </c>
      <c r="B103">
        <v>108</v>
      </c>
      <c r="C103" t="s">
        <v>2621</v>
      </c>
      <c r="D103" t="s">
        <v>369</v>
      </c>
    </row>
    <row r="104" spans="1:4" x14ac:dyDescent="0.2">
      <c r="A104">
        <v>11.75</v>
      </c>
      <c r="B104">
        <v>108.25</v>
      </c>
      <c r="C104" t="s">
        <v>2622</v>
      </c>
      <c r="D104" t="s">
        <v>369</v>
      </c>
    </row>
    <row r="105" spans="1:4" x14ac:dyDescent="0.2">
      <c r="A105">
        <v>11.75</v>
      </c>
      <c r="B105">
        <v>108.5</v>
      </c>
      <c r="C105" t="s">
        <v>1471</v>
      </c>
      <c r="D105" t="s">
        <v>369</v>
      </c>
    </row>
    <row r="106" spans="1:4" x14ac:dyDescent="0.2">
      <c r="A106">
        <v>11.75</v>
      </c>
      <c r="B106">
        <v>108.75</v>
      </c>
      <c r="C106" t="s">
        <v>1756</v>
      </c>
      <c r="D106" t="s">
        <v>1297</v>
      </c>
    </row>
    <row r="107" spans="1:4" x14ac:dyDescent="0.2">
      <c r="A107">
        <v>11.75</v>
      </c>
      <c r="B107">
        <v>109</v>
      </c>
      <c r="C107" t="s">
        <v>1764</v>
      </c>
      <c r="D107" t="s">
        <v>1297</v>
      </c>
    </row>
    <row r="108" spans="1:4" x14ac:dyDescent="0.2">
      <c r="A108">
        <v>12</v>
      </c>
      <c r="B108">
        <v>106.75</v>
      </c>
      <c r="C108" t="s">
        <v>337</v>
      </c>
      <c r="D108" t="s">
        <v>330</v>
      </c>
    </row>
    <row r="109" spans="1:4" x14ac:dyDescent="0.2">
      <c r="A109">
        <v>12</v>
      </c>
      <c r="B109">
        <v>107</v>
      </c>
      <c r="C109" t="s">
        <v>341</v>
      </c>
      <c r="D109" t="s">
        <v>330</v>
      </c>
    </row>
    <row r="110" spans="1:4" x14ac:dyDescent="0.2">
      <c r="A110">
        <v>12</v>
      </c>
      <c r="B110">
        <v>107.25</v>
      </c>
      <c r="C110" t="s">
        <v>2623</v>
      </c>
      <c r="D110" t="s">
        <v>330</v>
      </c>
    </row>
    <row r="111" spans="1:4" x14ac:dyDescent="0.2">
      <c r="A111">
        <v>12</v>
      </c>
      <c r="B111">
        <v>107.5</v>
      </c>
      <c r="C111" t="s">
        <v>2624</v>
      </c>
      <c r="D111" t="s">
        <v>369</v>
      </c>
    </row>
    <row r="112" spans="1:4" x14ac:dyDescent="0.2">
      <c r="A112">
        <v>12</v>
      </c>
      <c r="B112">
        <v>107.75</v>
      </c>
      <c r="C112" t="s">
        <v>2625</v>
      </c>
      <c r="D112" t="s">
        <v>369</v>
      </c>
    </row>
    <row r="113" spans="1:4" x14ac:dyDescent="0.2">
      <c r="A113">
        <v>12</v>
      </c>
      <c r="B113">
        <v>108</v>
      </c>
      <c r="C113" t="s">
        <v>599</v>
      </c>
      <c r="D113" t="s">
        <v>369</v>
      </c>
    </row>
    <row r="114" spans="1:4" x14ac:dyDescent="0.2">
      <c r="A114">
        <v>12</v>
      </c>
      <c r="B114">
        <v>108.25</v>
      </c>
      <c r="C114" t="s">
        <v>2626</v>
      </c>
      <c r="D114" t="s">
        <v>369</v>
      </c>
    </row>
    <row r="115" spans="1:4" x14ac:dyDescent="0.2">
      <c r="A115">
        <v>12</v>
      </c>
      <c r="B115">
        <v>108.5</v>
      </c>
      <c r="C115" t="s">
        <v>1478</v>
      </c>
      <c r="D115" t="s">
        <v>369</v>
      </c>
    </row>
    <row r="116" spans="1:4" x14ac:dyDescent="0.2">
      <c r="A116">
        <v>12</v>
      </c>
      <c r="B116">
        <v>108.75</v>
      </c>
      <c r="C116" t="s">
        <v>2627</v>
      </c>
      <c r="D116" t="s">
        <v>1297</v>
      </c>
    </row>
    <row r="117" spans="1:4" x14ac:dyDescent="0.2">
      <c r="A117">
        <v>12</v>
      </c>
      <c r="B117">
        <v>109</v>
      </c>
      <c r="C117" t="s">
        <v>2628</v>
      </c>
      <c r="D117" t="s">
        <v>1297</v>
      </c>
    </row>
    <row r="118" spans="1:4" x14ac:dyDescent="0.2">
      <c r="A118">
        <v>12.25</v>
      </c>
      <c r="B118">
        <v>107.25</v>
      </c>
      <c r="C118" t="s">
        <v>622</v>
      </c>
      <c r="D118" t="s">
        <v>369</v>
      </c>
    </row>
    <row r="119" spans="1:4" x14ac:dyDescent="0.2">
      <c r="A119">
        <v>12.25</v>
      </c>
      <c r="B119">
        <v>107.5</v>
      </c>
      <c r="C119" t="s">
        <v>2629</v>
      </c>
      <c r="D119" t="s">
        <v>369</v>
      </c>
    </row>
    <row r="120" spans="1:4" x14ac:dyDescent="0.2">
      <c r="A120">
        <v>12.25</v>
      </c>
      <c r="B120">
        <v>107.75</v>
      </c>
      <c r="C120" t="s">
        <v>2630</v>
      </c>
      <c r="D120" t="s">
        <v>369</v>
      </c>
    </row>
    <row r="121" spans="1:4" x14ac:dyDescent="0.2">
      <c r="A121">
        <v>12.25</v>
      </c>
      <c r="B121">
        <v>108</v>
      </c>
      <c r="C121" t="s">
        <v>1939</v>
      </c>
      <c r="D121" t="s">
        <v>369</v>
      </c>
    </row>
    <row r="122" spans="1:4" x14ac:dyDescent="0.2">
      <c r="A122">
        <v>12.25</v>
      </c>
      <c r="B122">
        <v>108.25</v>
      </c>
      <c r="C122" t="s">
        <v>616</v>
      </c>
      <c r="D122" t="s">
        <v>369</v>
      </c>
    </row>
    <row r="123" spans="1:4" x14ac:dyDescent="0.2">
      <c r="A123">
        <v>12.25</v>
      </c>
      <c r="B123">
        <v>108.5</v>
      </c>
      <c r="C123" t="s">
        <v>2631</v>
      </c>
      <c r="D123" t="s">
        <v>369</v>
      </c>
    </row>
    <row r="124" spans="1:4" x14ac:dyDescent="0.2">
      <c r="A124">
        <v>12.25</v>
      </c>
      <c r="B124">
        <v>108.75</v>
      </c>
      <c r="C124" t="s">
        <v>1313</v>
      </c>
      <c r="D124" t="s">
        <v>1297</v>
      </c>
    </row>
    <row r="125" spans="1:4" x14ac:dyDescent="0.2">
      <c r="A125">
        <v>12.25</v>
      </c>
      <c r="B125">
        <v>109</v>
      </c>
      <c r="C125" t="s">
        <v>2632</v>
      </c>
      <c r="D125" t="s">
        <v>1297</v>
      </c>
    </row>
    <row r="126" spans="1:4" x14ac:dyDescent="0.2">
      <c r="A126">
        <v>12.5</v>
      </c>
      <c r="B126">
        <v>107.75</v>
      </c>
      <c r="C126" t="s">
        <v>601</v>
      </c>
      <c r="D126" t="s">
        <v>369</v>
      </c>
    </row>
    <row r="127" spans="1:4" x14ac:dyDescent="0.2">
      <c r="A127">
        <v>12.5</v>
      </c>
      <c r="B127">
        <v>108</v>
      </c>
      <c r="C127" t="s">
        <v>2633</v>
      </c>
      <c r="D127" t="s">
        <v>536</v>
      </c>
    </row>
    <row r="128" spans="1:4" x14ac:dyDescent="0.2">
      <c r="A128">
        <v>12.5</v>
      </c>
      <c r="B128">
        <v>108.25</v>
      </c>
      <c r="C128" t="s">
        <v>2634</v>
      </c>
      <c r="D128" t="s">
        <v>536</v>
      </c>
    </row>
    <row r="129" spans="1:4" x14ac:dyDescent="0.2">
      <c r="A129">
        <v>12.5</v>
      </c>
      <c r="B129">
        <v>108.5</v>
      </c>
      <c r="C129" t="s">
        <v>2635</v>
      </c>
      <c r="D129" t="s">
        <v>536</v>
      </c>
    </row>
    <row r="130" spans="1:4" x14ac:dyDescent="0.2">
      <c r="A130">
        <v>12.5</v>
      </c>
      <c r="B130">
        <v>108.75</v>
      </c>
      <c r="C130" t="s">
        <v>2636</v>
      </c>
      <c r="D130" t="s">
        <v>536</v>
      </c>
    </row>
    <row r="131" spans="1:4" x14ac:dyDescent="0.2">
      <c r="A131">
        <v>12.5</v>
      </c>
      <c r="B131">
        <v>109</v>
      </c>
      <c r="C131" t="s">
        <v>2637</v>
      </c>
      <c r="D131" t="s">
        <v>1297</v>
      </c>
    </row>
    <row r="132" spans="1:4" x14ac:dyDescent="0.2">
      <c r="A132">
        <v>12.5</v>
      </c>
      <c r="B132">
        <v>109.25</v>
      </c>
      <c r="C132" t="s">
        <v>2638</v>
      </c>
      <c r="D132" t="s">
        <v>1297</v>
      </c>
    </row>
    <row r="133" spans="1:4" x14ac:dyDescent="0.2">
      <c r="A133">
        <v>12.75</v>
      </c>
      <c r="B133">
        <v>107.75</v>
      </c>
      <c r="C133" t="s">
        <v>595</v>
      </c>
      <c r="D133" t="s">
        <v>369</v>
      </c>
    </row>
    <row r="134" spans="1:4" x14ac:dyDescent="0.2">
      <c r="A134">
        <v>12.75</v>
      </c>
      <c r="B134">
        <v>108</v>
      </c>
      <c r="C134" t="s">
        <v>2639</v>
      </c>
      <c r="D134" t="s">
        <v>536</v>
      </c>
    </row>
    <row r="135" spans="1:4" x14ac:dyDescent="0.2">
      <c r="A135">
        <v>12.75</v>
      </c>
      <c r="B135">
        <v>108.25</v>
      </c>
      <c r="C135" t="s">
        <v>2640</v>
      </c>
      <c r="D135" t="s">
        <v>536</v>
      </c>
    </row>
    <row r="136" spans="1:4" x14ac:dyDescent="0.2">
      <c r="A136">
        <v>12.75</v>
      </c>
      <c r="B136">
        <v>108.5</v>
      </c>
      <c r="C136" t="s">
        <v>554</v>
      </c>
      <c r="D136" t="s">
        <v>536</v>
      </c>
    </row>
    <row r="137" spans="1:4" x14ac:dyDescent="0.2">
      <c r="A137">
        <v>12.75</v>
      </c>
      <c r="B137">
        <v>108.75</v>
      </c>
      <c r="C137" t="s">
        <v>585</v>
      </c>
      <c r="D137" t="s">
        <v>536</v>
      </c>
    </row>
    <row r="138" spans="1:4" x14ac:dyDescent="0.2">
      <c r="A138">
        <v>12.75</v>
      </c>
      <c r="B138">
        <v>109</v>
      </c>
      <c r="C138" t="s">
        <v>1836</v>
      </c>
      <c r="D138" t="s">
        <v>536</v>
      </c>
    </row>
    <row r="139" spans="1:4" x14ac:dyDescent="0.2">
      <c r="A139">
        <v>12.75</v>
      </c>
      <c r="B139">
        <v>109.25</v>
      </c>
      <c r="C139" t="s">
        <v>1324</v>
      </c>
      <c r="D139" t="s">
        <v>1297</v>
      </c>
    </row>
    <row r="140" spans="1:4" x14ac:dyDescent="0.2">
      <c r="A140">
        <v>13</v>
      </c>
      <c r="B140">
        <v>107.5</v>
      </c>
      <c r="C140" t="s">
        <v>537</v>
      </c>
      <c r="D140" t="s">
        <v>536</v>
      </c>
    </row>
    <row r="141" spans="1:4" x14ac:dyDescent="0.2">
      <c r="A141">
        <v>13</v>
      </c>
      <c r="B141">
        <v>107.75</v>
      </c>
      <c r="C141" t="s">
        <v>537</v>
      </c>
      <c r="D141" t="s">
        <v>536</v>
      </c>
    </row>
    <row r="142" spans="1:4" x14ac:dyDescent="0.2">
      <c r="A142">
        <v>13</v>
      </c>
      <c r="B142">
        <v>108</v>
      </c>
      <c r="C142" t="s">
        <v>2641</v>
      </c>
      <c r="D142" t="s">
        <v>536</v>
      </c>
    </row>
    <row r="143" spans="1:4" x14ac:dyDescent="0.2">
      <c r="A143">
        <v>13</v>
      </c>
      <c r="B143">
        <v>108.25</v>
      </c>
      <c r="C143" t="s">
        <v>569</v>
      </c>
      <c r="D143" t="s">
        <v>536</v>
      </c>
    </row>
    <row r="144" spans="1:4" x14ac:dyDescent="0.2">
      <c r="A144">
        <v>13</v>
      </c>
      <c r="B144">
        <v>108.5</v>
      </c>
      <c r="C144" t="s">
        <v>555</v>
      </c>
      <c r="D144" t="s">
        <v>536</v>
      </c>
    </row>
    <row r="145" spans="1:4" x14ac:dyDescent="0.2">
      <c r="A145">
        <v>13</v>
      </c>
      <c r="B145">
        <v>108.75</v>
      </c>
      <c r="C145" t="s">
        <v>2642</v>
      </c>
      <c r="D145" t="s">
        <v>536</v>
      </c>
    </row>
    <row r="146" spans="1:4" x14ac:dyDescent="0.2">
      <c r="A146">
        <v>13</v>
      </c>
      <c r="B146">
        <v>109</v>
      </c>
      <c r="C146" t="s">
        <v>2643</v>
      </c>
      <c r="D146" t="s">
        <v>536</v>
      </c>
    </row>
    <row r="147" spans="1:4" x14ac:dyDescent="0.2">
      <c r="A147">
        <v>13</v>
      </c>
      <c r="B147">
        <v>109.25</v>
      </c>
      <c r="C147" t="s">
        <v>2644</v>
      </c>
      <c r="D147" t="s">
        <v>536</v>
      </c>
    </row>
    <row r="148" spans="1:4" x14ac:dyDescent="0.2">
      <c r="A148">
        <v>13.25</v>
      </c>
      <c r="B148">
        <v>107.75</v>
      </c>
      <c r="C148" t="s">
        <v>2645</v>
      </c>
      <c r="D148" t="s">
        <v>536</v>
      </c>
    </row>
    <row r="149" spans="1:4" x14ac:dyDescent="0.2">
      <c r="A149">
        <v>13.25</v>
      </c>
      <c r="B149">
        <v>108</v>
      </c>
      <c r="C149" t="s">
        <v>559</v>
      </c>
      <c r="D149" t="s">
        <v>536</v>
      </c>
    </row>
    <row r="150" spans="1:4" x14ac:dyDescent="0.2">
      <c r="A150">
        <v>13.25</v>
      </c>
      <c r="B150">
        <v>108.25</v>
      </c>
      <c r="C150" t="s">
        <v>552</v>
      </c>
      <c r="D150" t="s">
        <v>536</v>
      </c>
    </row>
    <row r="151" spans="1:4" x14ac:dyDescent="0.2">
      <c r="A151">
        <v>13.25</v>
      </c>
      <c r="B151">
        <v>108.5</v>
      </c>
      <c r="C151" t="s">
        <v>2646</v>
      </c>
      <c r="D151" t="s">
        <v>255</v>
      </c>
    </row>
    <row r="152" spans="1:4" x14ac:dyDescent="0.2">
      <c r="A152">
        <v>13.25</v>
      </c>
      <c r="B152">
        <v>108.75</v>
      </c>
      <c r="C152" t="s">
        <v>230</v>
      </c>
      <c r="D152" t="s">
        <v>255</v>
      </c>
    </row>
    <row r="153" spans="1:4" x14ac:dyDescent="0.2">
      <c r="A153">
        <v>13.25</v>
      </c>
      <c r="B153">
        <v>109</v>
      </c>
      <c r="C153" t="s">
        <v>279</v>
      </c>
      <c r="D153" t="s">
        <v>536</v>
      </c>
    </row>
    <row r="154" spans="1:4" x14ac:dyDescent="0.2">
      <c r="A154">
        <v>13.25</v>
      </c>
      <c r="B154">
        <v>109.25</v>
      </c>
      <c r="C154" t="s">
        <v>1844</v>
      </c>
      <c r="D154" t="s">
        <v>536</v>
      </c>
    </row>
    <row r="155" spans="1:4" x14ac:dyDescent="0.2">
      <c r="A155">
        <v>13.5</v>
      </c>
      <c r="B155">
        <v>107.75</v>
      </c>
      <c r="C155" t="s">
        <v>2647</v>
      </c>
      <c r="D155" t="s">
        <v>255</v>
      </c>
    </row>
    <row r="156" spans="1:4" x14ac:dyDescent="0.2">
      <c r="A156">
        <v>13.5</v>
      </c>
      <c r="B156">
        <v>108</v>
      </c>
      <c r="C156" t="s">
        <v>757</v>
      </c>
      <c r="D156" t="s">
        <v>255</v>
      </c>
    </row>
    <row r="157" spans="1:4" x14ac:dyDescent="0.2">
      <c r="A157">
        <v>13.5</v>
      </c>
      <c r="B157">
        <v>108.25</v>
      </c>
      <c r="C157" t="s">
        <v>2648</v>
      </c>
      <c r="D157" t="s">
        <v>255</v>
      </c>
    </row>
    <row r="158" spans="1:4" x14ac:dyDescent="0.2">
      <c r="A158">
        <v>13.5</v>
      </c>
      <c r="B158">
        <v>108.5</v>
      </c>
      <c r="C158" t="s">
        <v>778</v>
      </c>
      <c r="D158" t="s">
        <v>255</v>
      </c>
    </row>
    <row r="159" spans="1:4" x14ac:dyDescent="0.2">
      <c r="A159">
        <v>13.5</v>
      </c>
      <c r="B159">
        <v>108.75</v>
      </c>
      <c r="C159" t="s">
        <v>1822</v>
      </c>
      <c r="D159" t="s">
        <v>536</v>
      </c>
    </row>
    <row r="160" spans="1:4" x14ac:dyDescent="0.2">
      <c r="A160">
        <v>13.5</v>
      </c>
      <c r="B160">
        <v>109</v>
      </c>
      <c r="C160" t="s">
        <v>2649</v>
      </c>
      <c r="D160" t="s">
        <v>536</v>
      </c>
    </row>
    <row r="161" spans="1:4" x14ac:dyDescent="0.2">
      <c r="A161">
        <v>13.5</v>
      </c>
      <c r="B161">
        <v>109.25</v>
      </c>
      <c r="C161" t="s">
        <v>1832</v>
      </c>
      <c r="D161" t="s">
        <v>536</v>
      </c>
    </row>
    <row r="162" spans="1:4" x14ac:dyDescent="0.2">
      <c r="A162">
        <v>13.75</v>
      </c>
      <c r="B162">
        <v>107.75</v>
      </c>
      <c r="C162" t="s">
        <v>771</v>
      </c>
      <c r="D162" t="s">
        <v>255</v>
      </c>
    </row>
    <row r="163" spans="1:4" x14ac:dyDescent="0.2">
      <c r="A163">
        <v>13.75</v>
      </c>
      <c r="B163">
        <v>108</v>
      </c>
      <c r="C163" t="s">
        <v>2650</v>
      </c>
      <c r="D163" t="s">
        <v>255</v>
      </c>
    </row>
    <row r="164" spans="1:4" x14ac:dyDescent="0.2">
      <c r="A164">
        <v>13.75</v>
      </c>
      <c r="B164">
        <v>108.25</v>
      </c>
      <c r="C164" t="s">
        <v>2651</v>
      </c>
      <c r="D164" t="s">
        <v>255</v>
      </c>
    </row>
    <row r="165" spans="1:4" x14ac:dyDescent="0.2">
      <c r="A165">
        <v>13.75</v>
      </c>
      <c r="B165">
        <v>108.5</v>
      </c>
      <c r="C165" t="s">
        <v>783</v>
      </c>
      <c r="D165" t="s">
        <v>255</v>
      </c>
    </row>
    <row r="166" spans="1:4" x14ac:dyDescent="0.2">
      <c r="A166">
        <v>13.75</v>
      </c>
      <c r="B166">
        <v>108.75</v>
      </c>
      <c r="C166" t="s">
        <v>2630</v>
      </c>
      <c r="D166" t="s">
        <v>255</v>
      </c>
    </row>
    <row r="167" spans="1:4" x14ac:dyDescent="0.2">
      <c r="A167">
        <v>13.75</v>
      </c>
      <c r="B167">
        <v>109</v>
      </c>
      <c r="C167" t="s">
        <v>2652</v>
      </c>
      <c r="D167" t="s">
        <v>255</v>
      </c>
    </row>
    <row r="168" spans="1:4" x14ac:dyDescent="0.2">
      <c r="A168">
        <v>13.75</v>
      </c>
      <c r="B168">
        <v>109.25</v>
      </c>
      <c r="C168" t="s">
        <v>2653</v>
      </c>
      <c r="D168" t="s">
        <v>255</v>
      </c>
    </row>
    <row r="169" spans="1:4" x14ac:dyDescent="0.2">
      <c r="A169">
        <v>14</v>
      </c>
      <c r="B169">
        <v>107.5</v>
      </c>
      <c r="C169" t="s">
        <v>1391</v>
      </c>
      <c r="D169" t="s">
        <v>1380</v>
      </c>
    </row>
    <row r="170" spans="1:4" x14ac:dyDescent="0.2">
      <c r="A170">
        <v>14</v>
      </c>
      <c r="B170">
        <v>107.75</v>
      </c>
      <c r="C170" t="s">
        <v>775</v>
      </c>
      <c r="D170" t="s">
        <v>255</v>
      </c>
    </row>
    <row r="171" spans="1:4" x14ac:dyDescent="0.2">
      <c r="A171">
        <v>14</v>
      </c>
      <c r="B171">
        <v>108</v>
      </c>
      <c r="C171" t="s">
        <v>686</v>
      </c>
      <c r="D171" t="s">
        <v>255</v>
      </c>
    </row>
    <row r="172" spans="1:4" x14ac:dyDescent="0.2">
      <c r="A172">
        <v>14</v>
      </c>
      <c r="B172">
        <v>108.25</v>
      </c>
      <c r="C172" t="s">
        <v>791</v>
      </c>
      <c r="D172" t="s">
        <v>255</v>
      </c>
    </row>
    <row r="173" spans="1:4" x14ac:dyDescent="0.2">
      <c r="A173">
        <v>14</v>
      </c>
      <c r="B173">
        <v>108.5</v>
      </c>
      <c r="C173" t="s">
        <v>2654</v>
      </c>
      <c r="D173" t="s">
        <v>255</v>
      </c>
    </row>
    <row r="174" spans="1:4" x14ac:dyDescent="0.2">
      <c r="A174">
        <v>14</v>
      </c>
      <c r="B174">
        <v>108.75</v>
      </c>
      <c r="C174" t="s">
        <v>2655</v>
      </c>
      <c r="D174" t="s">
        <v>255</v>
      </c>
    </row>
    <row r="175" spans="1:4" x14ac:dyDescent="0.2">
      <c r="A175">
        <v>14</v>
      </c>
      <c r="B175">
        <v>109</v>
      </c>
      <c r="C175" t="s">
        <v>2656</v>
      </c>
      <c r="D175" t="s">
        <v>255</v>
      </c>
    </row>
    <row r="176" spans="1:4" x14ac:dyDescent="0.2">
      <c r="A176">
        <v>14</v>
      </c>
      <c r="B176">
        <v>109.25</v>
      </c>
      <c r="C176" t="s">
        <v>2657</v>
      </c>
      <c r="D176" t="s">
        <v>255</v>
      </c>
    </row>
    <row r="177" spans="1:4" x14ac:dyDescent="0.2">
      <c r="A177">
        <v>14.25</v>
      </c>
      <c r="B177">
        <v>107.5</v>
      </c>
      <c r="C177" t="s">
        <v>2658</v>
      </c>
      <c r="D177" t="s">
        <v>1380</v>
      </c>
    </row>
    <row r="178" spans="1:4" x14ac:dyDescent="0.2">
      <c r="A178">
        <v>14.25</v>
      </c>
      <c r="B178">
        <v>107.75</v>
      </c>
      <c r="C178" t="s">
        <v>2659</v>
      </c>
      <c r="D178" t="s">
        <v>1380</v>
      </c>
    </row>
    <row r="179" spans="1:4" x14ac:dyDescent="0.2">
      <c r="A179">
        <v>14.25</v>
      </c>
      <c r="B179">
        <v>108</v>
      </c>
      <c r="C179" t="s">
        <v>2660</v>
      </c>
      <c r="D179" t="s">
        <v>1380</v>
      </c>
    </row>
    <row r="180" spans="1:4" x14ac:dyDescent="0.2">
      <c r="A180">
        <v>14.25</v>
      </c>
      <c r="B180">
        <v>108.25</v>
      </c>
      <c r="C180" t="s">
        <v>2661</v>
      </c>
      <c r="D180" t="s">
        <v>255</v>
      </c>
    </row>
    <row r="181" spans="1:4" x14ac:dyDescent="0.2">
      <c r="A181">
        <v>14.25</v>
      </c>
      <c r="B181">
        <v>108.5</v>
      </c>
      <c r="C181" t="s">
        <v>781</v>
      </c>
      <c r="D181" t="s">
        <v>255</v>
      </c>
    </row>
    <row r="182" spans="1:4" x14ac:dyDescent="0.2">
      <c r="A182">
        <v>14.25</v>
      </c>
      <c r="B182">
        <v>108.75</v>
      </c>
      <c r="C182" t="s">
        <v>289</v>
      </c>
      <c r="D182" t="s">
        <v>255</v>
      </c>
    </row>
    <row r="183" spans="1:4" x14ac:dyDescent="0.2">
      <c r="A183">
        <v>14.25</v>
      </c>
      <c r="B183">
        <v>109</v>
      </c>
      <c r="C183" t="s">
        <v>261</v>
      </c>
      <c r="D183" t="s">
        <v>255</v>
      </c>
    </row>
    <row r="184" spans="1:4" x14ac:dyDescent="0.2">
      <c r="A184">
        <v>14.5</v>
      </c>
      <c r="B184">
        <v>107.75</v>
      </c>
      <c r="C184" t="s">
        <v>2662</v>
      </c>
      <c r="D184" t="s">
        <v>1380</v>
      </c>
    </row>
    <row r="185" spans="1:4" x14ac:dyDescent="0.2">
      <c r="A185">
        <v>14.5</v>
      </c>
      <c r="B185">
        <v>108</v>
      </c>
      <c r="C185" t="s">
        <v>2663</v>
      </c>
      <c r="D185" t="s">
        <v>1380</v>
      </c>
    </row>
    <row r="186" spans="1:4" x14ac:dyDescent="0.2">
      <c r="A186">
        <v>14.5</v>
      </c>
      <c r="B186">
        <v>108.25</v>
      </c>
      <c r="C186" t="s">
        <v>2664</v>
      </c>
      <c r="D186" t="s">
        <v>1380</v>
      </c>
    </row>
    <row r="187" spans="1:4" x14ac:dyDescent="0.2">
      <c r="A187">
        <v>14.5</v>
      </c>
      <c r="B187">
        <v>108.5</v>
      </c>
      <c r="C187" t="s">
        <v>2665</v>
      </c>
      <c r="D187" t="s">
        <v>255</v>
      </c>
    </row>
    <row r="188" spans="1:4" x14ac:dyDescent="0.2">
      <c r="A188">
        <v>14.5</v>
      </c>
      <c r="B188">
        <v>108.75</v>
      </c>
      <c r="C188" t="s">
        <v>2666</v>
      </c>
      <c r="D188" t="s">
        <v>255</v>
      </c>
    </row>
    <row r="189" spans="1:4" x14ac:dyDescent="0.2">
      <c r="A189">
        <v>14.5</v>
      </c>
      <c r="B189">
        <v>109</v>
      </c>
      <c r="C189" t="s">
        <v>2667</v>
      </c>
      <c r="D189" t="s">
        <v>255</v>
      </c>
    </row>
    <row r="190" spans="1:4" x14ac:dyDescent="0.2">
      <c r="A190">
        <v>14.75</v>
      </c>
      <c r="B190">
        <v>107.75</v>
      </c>
      <c r="C190" t="s">
        <v>2668</v>
      </c>
      <c r="D190" t="s">
        <v>1380</v>
      </c>
    </row>
    <row r="191" spans="1:4" x14ac:dyDescent="0.2">
      <c r="A191">
        <v>14.75</v>
      </c>
      <c r="B191">
        <v>108</v>
      </c>
      <c r="C191" t="s">
        <v>2669</v>
      </c>
      <c r="D191" t="s">
        <v>1380</v>
      </c>
    </row>
    <row r="192" spans="1:4" x14ac:dyDescent="0.2">
      <c r="A192">
        <v>14.75</v>
      </c>
      <c r="B192">
        <v>108.25</v>
      </c>
      <c r="C192" t="s">
        <v>2670</v>
      </c>
      <c r="D192" t="s">
        <v>1380</v>
      </c>
    </row>
    <row r="193" spans="1:4" x14ac:dyDescent="0.2">
      <c r="A193">
        <v>14.75</v>
      </c>
      <c r="B193">
        <v>108.5</v>
      </c>
      <c r="C193" t="s">
        <v>1393</v>
      </c>
      <c r="D193" t="s">
        <v>1380</v>
      </c>
    </row>
    <row r="194" spans="1:4" x14ac:dyDescent="0.2">
      <c r="A194">
        <v>14.75</v>
      </c>
      <c r="B194">
        <v>108.75</v>
      </c>
      <c r="C194" t="s">
        <v>1953</v>
      </c>
      <c r="D194" t="s">
        <v>1380</v>
      </c>
    </row>
    <row r="195" spans="1:4" x14ac:dyDescent="0.2">
      <c r="A195">
        <v>14.75</v>
      </c>
      <c r="B195">
        <v>109</v>
      </c>
      <c r="C195" t="s">
        <v>2671</v>
      </c>
      <c r="D195" t="s">
        <v>1380</v>
      </c>
    </row>
    <row r="196" spans="1:4" x14ac:dyDescent="0.2">
      <c r="A196">
        <v>15</v>
      </c>
      <c r="B196">
        <v>107.5</v>
      </c>
      <c r="C196" t="s">
        <v>2672</v>
      </c>
      <c r="D196" t="s">
        <v>1380</v>
      </c>
    </row>
    <row r="197" spans="1:4" x14ac:dyDescent="0.2">
      <c r="A197">
        <v>15</v>
      </c>
      <c r="B197">
        <v>107.75</v>
      </c>
      <c r="C197" t="s">
        <v>1379</v>
      </c>
      <c r="D197" t="s">
        <v>1380</v>
      </c>
    </row>
    <row r="198" spans="1:4" x14ac:dyDescent="0.2">
      <c r="A198">
        <v>15</v>
      </c>
      <c r="B198">
        <v>108</v>
      </c>
      <c r="C198" t="s">
        <v>2673</v>
      </c>
      <c r="D198" t="s">
        <v>1380</v>
      </c>
    </row>
    <row r="199" spans="1:4" x14ac:dyDescent="0.2">
      <c r="A199">
        <v>15</v>
      </c>
      <c r="B199">
        <v>108.25</v>
      </c>
      <c r="C199" t="s">
        <v>2674</v>
      </c>
      <c r="D199" t="s">
        <v>1380</v>
      </c>
    </row>
    <row r="200" spans="1:4" x14ac:dyDescent="0.2">
      <c r="A200">
        <v>15</v>
      </c>
      <c r="B200">
        <v>108.5</v>
      </c>
      <c r="C200" t="s">
        <v>2675</v>
      </c>
      <c r="D200" t="s">
        <v>1380</v>
      </c>
    </row>
    <row r="201" spans="1:4" x14ac:dyDescent="0.2">
      <c r="A201">
        <v>15</v>
      </c>
      <c r="B201">
        <v>108.75</v>
      </c>
      <c r="C201" t="s">
        <v>2676</v>
      </c>
      <c r="D201" t="s">
        <v>1380</v>
      </c>
    </row>
    <row r="202" spans="1:4" x14ac:dyDescent="0.2">
      <c r="A202">
        <v>15.25</v>
      </c>
      <c r="B202">
        <v>107.75</v>
      </c>
      <c r="C202" t="s">
        <v>2677</v>
      </c>
      <c r="D202" t="s">
        <v>510</v>
      </c>
    </row>
    <row r="203" spans="1:4" x14ac:dyDescent="0.2">
      <c r="A203">
        <v>15.25</v>
      </c>
      <c r="B203">
        <v>108</v>
      </c>
      <c r="C203" t="s">
        <v>2678</v>
      </c>
      <c r="D203" t="s">
        <v>510</v>
      </c>
    </row>
    <row r="204" spans="1:4" x14ac:dyDescent="0.2">
      <c r="A204">
        <v>15.25</v>
      </c>
      <c r="B204">
        <v>108.25</v>
      </c>
      <c r="C204" t="s">
        <v>2679</v>
      </c>
      <c r="D204" t="s">
        <v>510</v>
      </c>
    </row>
    <row r="205" spans="1:4" x14ac:dyDescent="0.2">
      <c r="A205">
        <v>15.25</v>
      </c>
      <c r="B205">
        <v>108.5</v>
      </c>
      <c r="C205" t="s">
        <v>1988</v>
      </c>
      <c r="D205" t="s">
        <v>1380</v>
      </c>
    </row>
    <row r="206" spans="1:4" x14ac:dyDescent="0.2">
      <c r="A206">
        <v>15.25</v>
      </c>
      <c r="B206">
        <v>108.75</v>
      </c>
      <c r="C206" t="s">
        <v>2680</v>
      </c>
      <c r="D206" t="s">
        <v>1380</v>
      </c>
    </row>
    <row r="207" spans="1:4" x14ac:dyDescent="0.2">
      <c r="A207">
        <v>15.5</v>
      </c>
      <c r="B207">
        <v>107.5</v>
      </c>
      <c r="C207" t="s">
        <v>2681</v>
      </c>
      <c r="D207" t="s">
        <v>510</v>
      </c>
    </row>
    <row r="208" spans="1:4" x14ac:dyDescent="0.2">
      <c r="A208">
        <v>15.5</v>
      </c>
      <c r="B208">
        <v>107.75</v>
      </c>
      <c r="C208" t="s">
        <v>2682</v>
      </c>
      <c r="D208" t="s">
        <v>510</v>
      </c>
    </row>
    <row r="209" spans="1:4" x14ac:dyDescent="0.2">
      <c r="A209">
        <v>15.5</v>
      </c>
      <c r="B209">
        <v>108</v>
      </c>
      <c r="C209" t="s">
        <v>2683</v>
      </c>
      <c r="D209" t="s">
        <v>510</v>
      </c>
    </row>
    <row r="210" spans="1:4" x14ac:dyDescent="0.2">
      <c r="A210">
        <v>15.5</v>
      </c>
      <c r="B210">
        <v>108.25</v>
      </c>
      <c r="C210" t="s">
        <v>1950</v>
      </c>
      <c r="D210" t="s">
        <v>510</v>
      </c>
    </row>
    <row r="211" spans="1:4" x14ac:dyDescent="0.2">
      <c r="A211">
        <v>15.5</v>
      </c>
      <c r="B211">
        <v>108.5</v>
      </c>
      <c r="C211" t="s">
        <v>1927</v>
      </c>
      <c r="D211" t="s">
        <v>510</v>
      </c>
    </row>
    <row r="212" spans="1:4" x14ac:dyDescent="0.2">
      <c r="A212">
        <v>15.75</v>
      </c>
      <c r="B212">
        <v>107.25</v>
      </c>
      <c r="C212" t="s">
        <v>2684</v>
      </c>
      <c r="D212" t="s">
        <v>510</v>
      </c>
    </row>
    <row r="213" spans="1:4" x14ac:dyDescent="0.2">
      <c r="A213">
        <v>15.75</v>
      </c>
      <c r="B213">
        <v>107.5</v>
      </c>
      <c r="C213" t="s">
        <v>1913</v>
      </c>
      <c r="D213" t="s">
        <v>510</v>
      </c>
    </row>
    <row r="214" spans="1:4" x14ac:dyDescent="0.2">
      <c r="A214">
        <v>15.75</v>
      </c>
      <c r="B214">
        <v>107.75</v>
      </c>
      <c r="C214" t="s">
        <v>2685</v>
      </c>
      <c r="D214" t="s">
        <v>510</v>
      </c>
    </row>
    <row r="215" spans="1:4" x14ac:dyDescent="0.2">
      <c r="A215">
        <v>15.75</v>
      </c>
      <c r="B215">
        <v>108</v>
      </c>
      <c r="C215" t="s">
        <v>2686</v>
      </c>
      <c r="D215" t="s">
        <v>510</v>
      </c>
    </row>
    <row r="216" spans="1:4" x14ac:dyDescent="0.2">
      <c r="A216">
        <v>15.75</v>
      </c>
      <c r="B216">
        <v>108.25</v>
      </c>
      <c r="C216" t="s">
        <v>1935</v>
      </c>
      <c r="D216" t="s">
        <v>510</v>
      </c>
    </row>
    <row r="217" spans="1:4" x14ac:dyDescent="0.2">
      <c r="A217">
        <v>16</v>
      </c>
      <c r="B217">
        <v>107.5</v>
      </c>
      <c r="C217" t="s">
        <v>2687</v>
      </c>
      <c r="D217" t="s">
        <v>510</v>
      </c>
    </row>
    <row r="218" spans="1:4" x14ac:dyDescent="0.2">
      <c r="A218">
        <v>16</v>
      </c>
      <c r="B218">
        <v>107.75</v>
      </c>
      <c r="C218" t="s">
        <v>1901</v>
      </c>
      <c r="D218" t="s">
        <v>510</v>
      </c>
    </row>
    <row r="219" spans="1:4" x14ac:dyDescent="0.2">
      <c r="A219">
        <v>16</v>
      </c>
      <c r="B219">
        <v>108</v>
      </c>
      <c r="C219" t="s">
        <v>520</v>
      </c>
      <c r="D219" t="s">
        <v>510</v>
      </c>
    </row>
    <row r="220" spans="1:4" x14ac:dyDescent="0.2">
      <c r="A220">
        <v>16</v>
      </c>
      <c r="B220">
        <v>108.25</v>
      </c>
      <c r="C220" t="s">
        <v>526</v>
      </c>
      <c r="D220" t="s">
        <v>510</v>
      </c>
    </row>
    <row r="221" spans="1:4" x14ac:dyDescent="0.2">
      <c r="A221">
        <v>16.25</v>
      </c>
      <c r="B221">
        <v>107.25</v>
      </c>
      <c r="C221" t="s">
        <v>2350</v>
      </c>
      <c r="D221" t="s">
        <v>2352</v>
      </c>
    </row>
    <row r="222" spans="1:4" x14ac:dyDescent="0.2">
      <c r="A222">
        <v>16.25</v>
      </c>
      <c r="B222">
        <v>107.5</v>
      </c>
      <c r="C222" t="s">
        <v>2688</v>
      </c>
      <c r="D222" t="s">
        <v>2352</v>
      </c>
    </row>
    <row r="223" spans="1:4" x14ac:dyDescent="0.2">
      <c r="A223">
        <v>16.25</v>
      </c>
      <c r="B223">
        <v>107.75</v>
      </c>
      <c r="C223" t="s">
        <v>2689</v>
      </c>
      <c r="D223" t="s">
        <v>2352</v>
      </c>
    </row>
    <row r="224" spans="1:4" x14ac:dyDescent="0.2">
      <c r="A224">
        <v>16.25</v>
      </c>
      <c r="B224">
        <v>108</v>
      </c>
      <c r="C224" t="s">
        <v>2690</v>
      </c>
      <c r="D224" t="s">
        <v>2352</v>
      </c>
    </row>
    <row r="225" spans="1:4" x14ac:dyDescent="0.2">
      <c r="A225">
        <v>16.5</v>
      </c>
      <c r="B225">
        <v>106.75</v>
      </c>
      <c r="C225" t="s">
        <v>2691</v>
      </c>
      <c r="D225" t="s">
        <v>1855</v>
      </c>
    </row>
    <row r="226" spans="1:4" x14ac:dyDescent="0.2">
      <c r="A226">
        <v>16.5</v>
      </c>
      <c r="B226">
        <v>107</v>
      </c>
      <c r="C226" t="s">
        <v>2692</v>
      </c>
      <c r="D226" t="s">
        <v>1855</v>
      </c>
    </row>
    <row r="227" spans="1:4" x14ac:dyDescent="0.2">
      <c r="A227">
        <v>16.5</v>
      </c>
      <c r="B227">
        <v>107.25</v>
      </c>
      <c r="C227" t="s">
        <v>450</v>
      </c>
      <c r="D227" t="s">
        <v>2352</v>
      </c>
    </row>
    <row r="228" spans="1:4" x14ac:dyDescent="0.2">
      <c r="A228">
        <v>16.5</v>
      </c>
      <c r="B228">
        <v>107.5</v>
      </c>
      <c r="C228" t="s">
        <v>2693</v>
      </c>
      <c r="D228" t="s">
        <v>2352</v>
      </c>
    </row>
    <row r="229" spans="1:4" x14ac:dyDescent="0.2">
      <c r="A229">
        <v>16.5</v>
      </c>
      <c r="B229">
        <v>107.75</v>
      </c>
      <c r="C229" t="s">
        <v>2358</v>
      </c>
      <c r="D229" t="s">
        <v>2352</v>
      </c>
    </row>
    <row r="230" spans="1:4" x14ac:dyDescent="0.2">
      <c r="A230">
        <v>16.75</v>
      </c>
      <c r="B230">
        <v>106.75</v>
      </c>
      <c r="C230" t="s">
        <v>2070</v>
      </c>
      <c r="D230" t="s">
        <v>1855</v>
      </c>
    </row>
    <row r="231" spans="1:4" x14ac:dyDescent="0.2">
      <c r="A231">
        <v>16.75</v>
      </c>
      <c r="B231">
        <v>107</v>
      </c>
      <c r="C231" t="s">
        <v>2694</v>
      </c>
      <c r="D231" t="s">
        <v>1855</v>
      </c>
    </row>
    <row r="232" spans="1:4" x14ac:dyDescent="0.2">
      <c r="A232">
        <v>16.75</v>
      </c>
      <c r="B232">
        <v>107.25</v>
      </c>
      <c r="C232" t="s">
        <v>2695</v>
      </c>
      <c r="D232" t="s">
        <v>1855</v>
      </c>
    </row>
    <row r="233" spans="1:4" x14ac:dyDescent="0.2">
      <c r="A233">
        <v>17</v>
      </c>
      <c r="B233">
        <v>106.5</v>
      </c>
      <c r="C233" t="s">
        <v>1863</v>
      </c>
      <c r="D233" t="s">
        <v>1855</v>
      </c>
    </row>
    <row r="234" spans="1:4" x14ac:dyDescent="0.2">
      <c r="A234">
        <v>17</v>
      </c>
      <c r="B234">
        <v>106.75</v>
      </c>
      <c r="C234" t="s">
        <v>1863</v>
      </c>
      <c r="D234" t="s">
        <v>1855</v>
      </c>
    </row>
    <row r="235" spans="1:4" x14ac:dyDescent="0.2">
      <c r="A235">
        <v>17</v>
      </c>
      <c r="B235">
        <v>107</v>
      </c>
      <c r="C235" t="s">
        <v>2696</v>
      </c>
      <c r="D235" t="s">
        <v>1855</v>
      </c>
    </row>
    <row r="236" spans="1:4" x14ac:dyDescent="0.2">
      <c r="A236">
        <v>17.25</v>
      </c>
      <c r="B236">
        <v>106.25</v>
      </c>
      <c r="C236" t="s">
        <v>1859</v>
      </c>
      <c r="D236" t="s">
        <v>1855</v>
      </c>
    </row>
    <row r="237" spans="1:4" x14ac:dyDescent="0.2">
      <c r="A237">
        <v>17.25</v>
      </c>
      <c r="B237">
        <v>106.5</v>
      </c>
      <c r="C237" t="s">
        <v>1871</v>
      </c>
      <c r="D237" t="s">
        <v>1855</v>
      </c>
    </row>
    <row r="238" spans="1:4" x14ac:dyDescent="0.2">
      <c r="A238">
        <v>17.25</v>
      </c>
      <c r="B238">
        <v>106.75</v>
      </c>
      <c r="C238" t="s">
        <v>1861</v>
      </c>
      <c r="D238" t="s">
        <v>1855</v>
      </c>
    </row>
    <row r="239" spans="1:4" x14ac:dyDescent="0.2">
      <c r="A239">
        <v>17.5</v>
      </c>
      <c r="B239">
        <v>106</v>
      </c>
      <c r="C239" t="s">
        <v>1859</v>
      </c>
      <c r="D239" t="s">
        <v>1855</v>
      </c>
    </row>
    <row r="240" spans="1:4" x14ac:dyDescent="0.2">
      <c r="A240">
        <v>17.5</v>
      </c>
      <c r="B240">
        <v>106.25</v>
      </c>
      <c r="C240" t="s">
        <v>1859</v>
      </c>
      <c r="D240" t="s">
        <v>1855</v>
      </c>
    </row>
    <row r="241" spans="1:4" x14ac:dyDescent="0.2">
      <c r="A241">
        <v>17.5</v>
      </c>
      <c r="B241">
        <v>106.5</v>
      </c>
      <c r="C241" t="s">
        <v>2697</v>
      </c>
      <c r="D241" t="s">
        <v>1855</v>
      </c>
    </row>
    <row r="242" spans="1:4" x14ac:dyDescent="0.2">
      <c r="A242">
        <v>17.75</v>
      </c>
      <c r="B242">
        <v>105.75</v>
      </c>
      <c r="C242" t="s">
        <v>2698</v>
      </c>
      <c r="D242" t="s">
        <v>1855</v>
      </c>
    </row>
    <row r="243" spans="1:4" x14ac:dyDescent="0.2">
      <c r="A243">
        <v>17.75</v>
      </c>
      <c r="B243">
        <v>106</v>
      </c>
      <c r="C243" t="s">
        <v>2699</v>
      </c>
      <c r="D243" t="s">
        <v>1855</v>
      </c>
    </row>
    <row r="244" spans="1:4" x14ac:dyDescent="0.2">
      <c r="A244">
        <v>17.75</v>
      </c>
      <c r="B244">
        <v>106.25</v>
      </c>
      <c r="C244" t="s">
        <v>1881</v>
      </c>
      <c r="D244" t="s">
        <v>1855</v>
      </c>
    </row>
    <row r="245" spans="1:4" x14ac:dyDescent="0.2">
      <c r="A245">
        <v>18</v>
      </c>
      <c r="B245">
        <v>105.75</v>
      </c>
      <c r="C245" t="s">
        <v>2700</v>
      </c>
      <c r="D245" t="s">
        <v>1855</v>
      </c>
    </row>
    <row r="246" spans="1:4" x14ac:dyDescent="0.2">
      <c r="A246">
        <v>18</v>
      </c>
      <c r="B246">
        <v>106</v>
      </c>
      <c r="C246" t="s">
        <v>1883</v>
      </c>
      <c r="D246" t="s">
        <v>1855</v>
      </c>
    </row>
    <row r="247" spans="1:4" x14ac:dyDescent="0.2">
      <c r="A247">
        <v>18</v>
      </c>
      <c r="B247">
        <v>106.25</v>
      </c>
      <c r="C247" t="s">
        <v>2701</v>
      </c>
      <c r="D247" t="s">
        <v>969</v>
      </c>
    </row>
    <row r="248" spans="1:4" x14ac:dyDescent="0.2">
      <c r="A248">
        <v>18.25</v>
      </c>
      <c r="B248">
        <v>105.5</v>
      </c>
      <c r="C248" t="s">
        <v>2702</v>
      </c>
      <c r="D248" t="s">
        <v>969</v>
      </c>
    </row>
    <row r="249" spans="1:4" x14ac:dyDescent="0.2">
      <c r="A249">
        <v>18.25</v>
      </c>
      <c r="B249">
        <v>105.75</v>
      </c>
      <c r="C249" t="s">
        <v>2703</v>
      </c>
      <c r="D249" t="s">
        <v>969</v>
      </c>
    </row>
    <row r="250" spans="1:4" x14ac:dyDescent="0.2">
      <c r="A250">
        <v>18.25</v>
      </c>
      <c r="B250">
        <v>106</v>
      </c>
      <c r="C250" t="s">
        <v>970</v>
      </c>
      <c r="D250" t="s">
        <v>969</v>
      </c>
    </row>
    <row r="251" spans="1:4" x14ac:dyDescent="0.2">
      <c r="A251">
        <v>18.5</v>
      </c>
      <c r="B251">
        <v>105.25</v>
      </c>
      <c r="C251" t="s">
        <v>940</v>
      </c>
      <c r="D251" t="s">
        <v>969</v>
      </c>
    </row>
    <row r="252" spans="1:4" x14ac:dyDescent="0.2">
      <c r="A252">
        <v>18.5</v>
      </c>
      <c r="B252">
        <v>105.5</v>
      </c>
      <c r="C252" t="s">
        <v>2704</v>
      </c>
      <c r="D252" t="s">
        <v>969</v>
      </c>
    </row>
    <row r="253" spans="1:4" x14ac:dyDescent="0.2">
      <c r="A253">
        <v>18.5</v>
      </c>
      <c r="B253">
        <v>105.75</v>
      </c>
      <c r="C253" t="s">
        <v>973</v>
      </c>
      <c r="D253" t="s">
        <v>969</v>
      </c>
    </row>
    <row r="254" spans="1:4" x14ac:dyDescent="0.2">
      <c r="A254">
        <v>18.75</v>
      </c>
      <c r="B254">
        <v>105</v>
      </c>
      <c r="C254" t="s">
        <v>2705</v>
      </c>
      <c r="D254" t="s">
        <v>1649</v>
      </c>
    </row>
    <row r="255" spans="1:4" x14ac:dyDescent="0.2">
      <c r="A255">
        <v>18.75</v>
      </c>
      <c r="B255">
        <v>105.25</v>
      </c>
      <c r="C255" t="s">
        <v>1705</v>
      </c>
      <c r="D255" t="s">
        <v>1649</v>
      </c>
    </row>
    <row r="256" spans="1:4" x14ac:dyDescent="0.2">
      <c r="A256">
        <v>18.75</v>
      </c>
      <c r="B256">
        <v>105.5</v>
      </c>
      <c r="C256" t="s">
        <v>1672</v>
      </c>
      <c r="D256" t="s">
        <v>1649</v>
      </c>
    </row>
    <row r="257" spans="1:4" x14ac:dyDescent="0.2">
      <c r="A257">
        <v>18.75</v>
      </c>
      <c r="B257">
        <v>105.75</v>
      </c>
      <c r="C257" t="s">
        <v>2706</v>
      </c>
      <c r="D257" t="s">
        <v>969</v>
      </c>
    </row>
    <row r="258" spans="1:4" x14ac:dyDescent="0.2">
      <c r="A258">
        <v>19</v>
      </c>
      <c r="B258">
        <v>104.75</v>
      </c>
      <c r="C258" t="s">
        <v>2707</v>
      </c>
      <c r="D258" t="s">
        <v>1649</v>
      </c>
    </row>
    <row r="259" spans="1:4" x14ac:dyDescent="0.2">
      <c r="A259">
        <v>19</v>
      </c>
      <c r="B259">
        <v>105</v>
      </c>
      <c r="C259" t="s">
        <v>2708</v>
      </c>
      <c r="D259" t="s">
        <v>1649</v>
      </c>
    </row>
    <row r="260" spans="1:4" x14ac:dyDescent="0.2">
      <c r="A260">
        <v>19</v>
      </c>
      <c r="B260">
        <v>105.25</v>
      </c>
      <c r="C260" t="s">
        <v>2709</v>
      </c>
      <c r="D260" t="s">
        <v>1649</v>
      </c>
    </row>
    <row r="261" spans="1:4" x14ac:dyDescent="0.2">
      <c r="A261">
        <v>19</v>
      </c>
      <c r="B261">
        <v>105.5</v>
      </c>
      <c r="C261" t="s">
        <v>1714</v>
      </c>
      <c r="D261" t="s">
        <v>1649</v>
      </c>
    </row>
    <row r="262" spans="1:4" x14ac:dyDescent="0.2">
      <c r="A262">
        <v>19.25</v>
      </c>
      <c r="B262">
        <v>104</v>
      </c>
      <c r="C262" t="s">
        <v>2710</v>
      </c>
      <c r="D262" t="s">
        <v>1649</v>
      </c>
    </row>
    <row r="263" spans="1:4" x14ac:dyDescent="0.2">
      <c r="A263">
        <v>19.25</v>
      </c>
      <c r="B263">
        <v>104.25</v>
      </c>
      <c r="C263" t="s">
        <v>2711</v>
      </c>
      <c r="D263" t="s">
        <v>1649</v>
      </c>
    </row>
    <row r="264" spans="1:4" x14ac:dyDescent="0.2">
      <c r="A264">
        <v>19.25</v>
      </c>
      <c r="B264">
        <v>104.5</v>
      </c>
      <c r="C264" t="s">
        <v>1707</v>
      </c>
      <c r="D264" t="s">
        <v>1649</v>
      </c>
    </row>
    <row r="265" spans="1:4" x14ac:dyDescent="0.2">
      <c r="A265">
        <v>19.25</v>
      </c>
      <c r="B265">
        <v>104.75</v>
      </c>
      <c r="C265" t="s">
        <v>2712</v>
      </c>
      <c r="D265" t="s">
        <v>1649</v>
      </c>
    </row>
    <row r="266" spans="1:4" x14ac:dyDescent="0.2">
      <c r="A266">
        <v>19.25</v>
      </c>
      <c r="B266">
        <v>105</v>
      </c>
      <c r="C266" t="s">
        <v>2713</v>
      </c>
      <c r="D266" t="s">
        <v>1649</v>
      </c>
    </row>
    <row r="267" spans="1:4" x14ac:dyDescent="0.2">
      <c r="A267">
        <v>19.25</v>
      </c>
      <c r="B267">
        <v>105.25</v>
      </c>
      <c r="C267" t="s">
        <v>2714</v>
      </c>
      <c r="D267" t="s">
        <v>1649</v>
      </c>
    </row>
    <row r="268" spans="1:4" x14ac:dyDescent="0.2">
      <c r="A268">
        <v>19.25</v>
      </c>
      <c r="B268">
        <v>105.5</v>
      </c>
      <c r="C268" t="s">
        <v>2715</v>
      </c>
      <c r="D268" t="s">
        <v>1649</v>
      </c>
    </row>
    <row r="269" spans="1:4" x14ac:dyDescent="0.2">
      <c r="A269">
        <v>19.25</v>
      </c>
      <c r="B269">
        <v>105.75</v>
      </c>
      <c r="C269" t="s">
        <v>2716</v>
      </c>
      <c r="D269" t="s">
        <v>1649</v>
      </c>
    </row>
    <row r="270" spans="1:4" x14ac:dyDescent="0.2">
      <c r="A270">
        <v>19.5</v>
      </c>
      <c r="B270">
        <v>104.25</v>
      </c>
      <c r="C270" t="s">
        <v>2717</v>
      </c>
      <c r="D270" t="s">
        <v>1649</v>
      </c>
    </row>
    <row r="271" spans="1:4" x14ac:dyDescent="0.2">
      <c r="A271">
        <v>19.5</v>
      </c>
      <c r="B271">
        <v>104.5</v>
      </c>
      <c r="C271" t="s">
        <v>2718</v>
      </c>
      <c r="D271" t="s">
        <v>1649</v>
      </c>
    </row>
    <row r="272" spans="1:4" x14ac:dyDescent="0.2">
      <c r="A272">
        <v>19.5</v>
      </c>
      <c r="B272">
        <v>104.75</v>
      </c>
      <c r="C272" t="s">
        <v>2719</v>
      </c>
      <c r="D272" t="s">
        <v>1649</v>
      </c>
    </row>
    <row r="273" spans="1:4" x14ac:dyDescent="0.2">
      <c r="A273">
        <v>19.5</v>
      </c>
      <c r="B273">
        <v>105</v>
      </c>
      <c r="C273" t="s">
        <v>2720</v>
      </c>
      <c r="D273" t="s">
        <v>1649</v>
      </c>
    </row>
    <row r="274" spans="1:4" x14ac:dyDescent="0.2">
      <c r="A274">
        <v>19.5</v>
      </c>
      <c r="B274">
        <v>105.25</v>
      </c>
      <c r="C274" t="s">
        <v>2721</v>
      </c>
      <c r="D274" t="s">
        <v>1649</v>
      </c>
    </row>
    <row r="275" spans="1:4" x14ac:dyDescent="0.2">
      <c r="A275">
        <v>19.5</v>
      </c>
      <c r="B275">
        <v>105.5</v>
      </c>
      <c r="C275" t="s">
        <v>2722</v>
      </c>
      <c r="D275" t="s">
        <v>2249</v>
      </c>
    </row>
    <row r="276" spans="1:4" x14ac:dyDescent="0.2">
      <c r="A276">
        <v>19.5</v>
      </c>
      <c r="B276">
        <v>105.75</v>
      </c>
      <c r="C276" t="s">
        <v>2723</v>
      </c>
      <c r="D276" t="s">
        <v>2249</v>
      </c>
    </row>
    <row r="277" spans="1:4" x14ac:dyDescent="0.2">
      <c r="A277">
        <v>19.75</v>
      </c>
      <c r="B277">
        <v>104.75</v>
      </c>
      <c r="C277" t="s">
        <v>1684</v>
      </c>
      <c r="D277" t="s">
        <v>1649</v>
      </c>
    </row>
    <row r="278" spans="1:4" x14ac:dyDescent="0.2">
      <c r="A278">
        <v>19.75</v>
      </c>
      <c r="B278">
        <v>105</v>
      </c>
      <c r="C278" t="s">
        <v>2724</v>
      </c>
      <c r="D278" t="s">
        <v>1649</v>
      </c>
    </row>
    <row r="279" spans="1:4" x14ac:dyDescent="0.2">
      <c r="A279">
        <v>19.75</v>
      </c>
      <c r="B279">
        <v>105.25</v>
      </c>
      <c r="C279" t="s">
        <v>2725</v>
      </c>
      <c r="D279" t="s">
        <v>2249</v>
      </c>
    </row>
    <row r="280" spans="1:4" x14ac:dyDescent="0.2">
      <c r="A280">
        <v>19.75</v>
      </c>
      <c r="B280">
        <v>105.5</v>
      </c>
      <c r="C280" t="s">
        <v>2726</v>
      </c>
      <c r="D280" t="s">
        <v>2249</v>
      </c>
    </row>
    <row r="281" spans="1:4" x14ac:dyDescent="0.2">
      <c r="A281">
        <v>19.75</v>
      </c>
      <c r="B281">
        <v>105.75</v>
      </c>
      <c r="C281" t="s">
        <v>2262</v>
      </c>
      <c r="D281" t="s">
        <v>2249</v>
      </c>
    </row>
    <row r="282" spans="1:4" x14ac:dyDescent="0.2">
      <c r="A282">
        <v>20</v>
      </c>
      <c r="B282">
        <v>105</v>
      </c>
      <c r="C282" t="s">
        <v>2727</v>
      </c>
      <c r="D282" t="s">
        <v>2249</v>
      </c>
    </row>
    <row r="283" spans="1:4" x14ac:dyDescent="0.2">
      <c r="A283">
        <v>20</v>
      </c>
      <c r="B283">
        <v>105.25</v>
      </c>
      <c r="C283" t="s">
        <v>368</v>
      </c>
      <c r="D283" t="s">
        <v>2249</v>
      </c>
    </row>
    <row r="284" spans="1:4" x14ac:dyDescent="0.2">
      <c r="A284">
        <v>20</v>
      </c>
      <c r="B284">
        <v>105.5</v>
      </c>
      <c r="C284" t="s">
        <v>2728</v>
      </c>
      <c r="D284" t="s">
        <v>2249</v>
      </c>
    </row>
    <row r="285" spans="1:4" x14ac:dyDescent="0.2">
      <c r="A285">
        <v>20</v>
      </c>
      <c r="B285">
        <v>105.75</v>
      </c>
      <c r="C285" t="s">
        <v>2729</v>
      </c>
      <c r="D285" t="s">
        <v>2249</v>
      </c>
    </row>
    <row r="286" spans="1:4" x14ac:dyDescent="0.2">
      <c r="A286">
        <v>20</v>
      </c>
      <c r="B286">
        <v>106</v>
      </c>
      <c r="C286" t="s">
        <v>2283</v>
      </c>
      <c r="D286" t="s">
        <v>2249</v>
      </c>
    </row>
    <row r="287" spans="1:4" x14ac:dyDescent="0.2">
      <c r="A287">
        <v>20.25</v>
      </c>
      <c r="B287">
        <v>104.75</v>
      </c>
      <c r="C287" t="s">
        <v>2730</v>
      </c>
      <c r="D287" t="s">
        <v>2249</v>
      </c>
    </row>
    <row r="288" spans="1:4" x14ac:dyDescent="0.2">
      <c r="A288">
        <v>20.25</v>
      </c>
      <c r="B288">
        <v>105</v>
      </c>
      <c r="C288" t="s">
        <v>2305</v>
      </c>
      <c r="D288" t="s">
        <v>2249</v>
      </c>
    </row>
    <row r="289" spans="1:4" x14ac:dyDescent="0.2">
      <c r="A289">
        <v>20.25</v>
      </c>
      <c r="B289">
        <v>105.25</v>
      </c>
      <c r="C289" t="s">
        <v>2731</v>
      </c>
      <c r="D289" t="s">
        <v>2249</v>
      </c>
    </row>
    <row r="290" spans="1:4" x14ac:dyDescent="0.2">
      <c r="A290">
        <v>20.25</v>
      </c>
      <c r="B290">
        <v>105.5</v>
      </c>
      <c r="C290" t="s">
        <v>2732</v>
      </c>
      <c r="D290" t="s">
        <v>2249</v>
      </c>
    </row>
    <row r="291" spans="1:4" x14ac:dyDescent="0.2">
      <c r="A291">
        <v>20.25</v>
      </c>
      <c r="B291">
        <v>105.75</v>
      </c>
      <c r="C291" t="s">
        <v>2733</v>
      </c>
      <c r="D291" t="s">
        <v>844</v>
      </c>
    </row>
    <row r="292" spans="1:4" x14ac:dyDescent="0.2">
      <c r="A292">
        <v>20.25</v>
      </c>
      <c r="B292">
        <v>106</v>
      </c>
      <c r="C292" t="s">
        <v>1722</v>
      </c>
      <c r="D292" t="s">
        <v>844</v>
      </c>
    </row>
    <row r="293" spans="1:4" x14ac:dyDescent="0.2">
      <c r="A293">
        <v>20.25</v>
      </c>
      <c r="B293">
        <v>106.25</v>
      </c>
      <c r="C293" t="s">
        <v>1634</v>
      </c>
      <c r="D293" t="s">
        <v>844</v>
      </c>
    </row>
    <row r="294" spans="1:4" x14ac:dyDescent="0.2">
      <c r="A294">
        <v>20.25</v>
      </c>
      <c r="B294">
        <v>106.5</v>
      </c>
      <c r="C294" t="s">
        <v>2734</v>
      </c>
      <c r="D294" t="s">
        <v>844</v>
      </c>
    </row>
    <row r="295" spans="1:4" x14ac:dyDescent="0.2">
      <c r="A295">
        <v>20.5</v>
      </c>
      <c r="B295">
        <v>104.5</v>
      </c>
      <c r="C295" t="s">
        <v>2279</v>
      </c>
      <c r="D295" t="s">
        <v>2249</v>
      </c>
    </row>
    <row r="296" spans="1:4" x14ac:dyDescent="0.2">
      <c r="A296">
        <v>20.5</v>
      </c>
      <c r="B296">
        <v>104.75</v>
      </c>
      <c r="C296" t="s">
        <v>2735</v>
      </c>
      <c r="D296" t="s">
        <v>2249</v>
      </c>
    </row>
    <row r="297" spans="1:4" x14ac:dyDescent="0.2">
      <c r="A297">
        <v>20.5</v>
      </c>
      <c r="B297">
        <v>105</v>
      </c>
      <c r="C297" t="s">
        <v>2736</v>
      </c>
      <c r="D297" t="s">
        <v>2249</v>
      </c>
    </row>
    <row r="298" spans="1:4" x14ac:dyDescent="0.2">
      <c r="A298">
        <v>20.5</v>
      </c>
      <c r="B298">
        <v>105.25</v>
      </c>
      <c r="C298" t="s">
        <v>2737</v>
      </c>
      <c r="D298" t="s">
        <v>1225</v>
      </c>
    </row>
    <row r="299" spans="1:4" x14ac:dyDescent="0.2">
      <c r="A299">
        <v>20.5</v>
      </c>
      <c r="B299">
        <v>105.5</v>
      </c>
      <c r="C299" t="s">
        <v>1241</v>
      </c>
      <c r="D299" t="s">
        <v>1225</v>
      </c>
    </row>
    <row r="300" spans="1:4" x14ac:dyDescent="0.2">
      <c r="A300">
        <v>20.5</v>
      </c>
      <c r="B300">
        <v>105.75</v>
      </c>
      <c r="C300" t="s">
        <v>1243</v>
      </c>
      <c r="D300" t="s">
        <v>1225</v>
      </c>
    </row>
    <row r="301" spans="1:4" x14ac:dyDescent="0.2">
      <c r="A301">
        <v>20.5</v>
      </c>
      <c r="B301">
        <v>106</v>
      </c>
      <c r="C301" t="s">
        <v>2738</v>
      </c>
      <c r="D301" t="s">
        <v>844</v>
      </c>
    </row>
    <row r="302" spans="1:4" x14ac:dyDescent="0.2">
      <c r="A302">
        <v>20.5</v>
      </c>
      <c r="B302">
        <v>106.25</v>
      </c>
      <c r="C302" t="s">
        <v>2739</v>
      </c>
      <c r="D302" t="s">
        <v>1261</v>
      </c>
    </row>
    <row r="303" spans="1:4" x14ac:dyDescent="0.2">
      <c r="A303">
        <v>20.5</v>
      </c>
      <c r="B303">
        <v>106.5</v>
      </c>
      <c r="C303" t="s">
        <v>2740</v>
      </c>
      <c r="D303" t="s">
        <v>1261</v>
      </c>
    </row>
    <row r="304" spans="1:4" x14ac:dyDescent="0.2">
      <c r="A304">
        <v>20.75</v>
      </c>
      <c r="B304">
        <v>104.5</v>
      </c>
      <c r="C304" t="s">
        <v>2741</v>
      </c>
      <c r="D304" t="s">
        <v>2121</v>
      </c>
    </row>
    <row r="305" spans="1:4" x14ac:dyDescent="0.2">
      <c r="A305">
        <v>20.75</v>
      </c>
      <c r="B305">
        <v>104.75</v>
      </c>
      <c r="C305" t="s">
        <v>2742</v>
      </c>
      <c r="D305" t="s">
        <v>2121</v>
      </c>
    </row>
    <row r="306" spans="1:4" x14ac:dyDescent="0.2">
      <c r="A306">
        <v>20.75</v>
      </c>
      <c r="B306">
        <v>105</v>
      </c>
      <c r="C306" t="s">
        <v>2716</v>
      </c>
      <c r="D306" t="s">
        <v>1225</v>
      </c>
    </row>
    <row r="307" spans="1:4" x14ac:dyDescent="0.2">
      <c r="A307">
        <v>20.75</v>
      </c>
      <c r="B307">
        <v>105.25</v>
      </c>
      <c r="C307" t="s">
        <v>2743</v>
      </c>
      <c r="D307" t="s">
        <v>1225</v>
      </c>
    </row>
    <row r="308" spans="1:4" x14ac:dyDescent="0.2">
      <c r="A308">
        <v>20.75</v>
      </c>
      <c r="B308">
        <v>105.5</v>
      </c>
      <c r="C308" t="s">
        <v>2744</v>
      </c>
      <c r="D308" t="s">
        <v>1225</v>
      </c>
    </row>
    <row r="309" spans="1:4" x14ac:dyDescent="0.2">
      <c r="A309">
        <v>20.75</v>
      </c>
      <c r="B309">
        <v>105.75</v>
      </c>
      <c r="C309" t="s">
        <v>966</v>
      </c>
      <c r="D309" t="s">
        <v>864</v>
      </c>
    </row>
    <row r="310" spans="1:4" x14ac:dyDescent="0.2">
      <c r="A310">
        <v>20.75</v>
      </c>
      <c r="B310">
        <v>106</v>
      </c>
      <c r="C310" t="s">
        <v>2745</v>
      </c>
      <c r="D310" t="s">
        <v>1261</v>
      </c>
    </row>
    <row r="311" spans="1:4" x14ac:dyDescent="0.2">
      <c r="A311">
        <v>20.75</v>
      </c>
      <c r="B311">
        <v>106.25</v>
      </c>
      <c r="C311" t="s">
        <v>1052</v>
      </c>
      <c r="D311" t="s">
        <v>1019</v>
      </c>
    </row>
    <row r="312" spans="1:4" x14ac:dyDescent="0.2">
      <c r="A312">
        <v>20.75</v>
      </c>
      <c r="B312">
        <v>106.5</v>
      </c>
      <c r="C312" t="s">
        <v>1371</v>
      </c>
      <c r="D312" t="s">
        <v>1019</v>
      </c>
    </row>
    <row r="313" spans="1:4" x14ac:dyDescent="0.2">
      <c r="A313">
        <v>20.75</v>
      </c>
      <c r="B313">
        <v>106.75</v>
      </c>
      <c r="C313" t="s">
        <v>2746</v>
      </c>
      <c r="D313" t="s">
        <v>1019</v>
      </c>
    </row>
    <row r="314" spans="1:4" x14ac:dyDescent="0.2">
      <c r="A314">
        <v>20.75</v>
      </c>
      <c r="B314">
        <v>107</v>
      </c>
      <c r="C314" t="s">
        <v>1067</v>
      </c>
      <c r="D314" t="s">
        <v>1019</v>
      </c>
    </row>
    <row r="315" spans="1:4" x14ac:dyDescent="0.2">
      <c r="A315">
        <v>21</v>
      </c>
      <c r="B315">
        <v>103.25</v>
      </c>
      <c r="C315" t="s">
        <v>2747</v>
      </c>
      <c r="D315" t="s">
        <v>625</v>
      </c>
    </row>
    <row r="316" spans="1:4" x14ac:dyDescent="0.2">
      <c r="A316">
        <v>21</v>
      </c>
      <c r="B316">
        <v>103.5</v>
      </c>
      <c r="C316" t="s">
        <v>2748</v>
      </c>
      <c r="D316" t="s">
        <v>2121</v>
      </c>
    </row>
    <row r="317" spans="1:4" x14ac:dyDescent="0.2">
      <c r="A317">
        <v>21</v>
      </c>
      <c r="B317">
        <v>103.75</v>
      </c>
      <c r="C317" t="s">
        <v>2749</v>
      </c>
      <c r="D317" t="s">
        <v>2121</v>
      </c>
    </row>
    <row r="318" spans="1:4" x14ac:dyDescent="0.2">
      <c r="A318">
        <v>21</v>
      </c>
      <c r="B318">
        <v>104</v>
      </c>
      <c r="C318" t="s">
        <v>2750</v>
      </c>
      <c r="D318" t="s">
        <v>2121</v>
      </c>
    </row>
    <row r="319" spans="1:4" x14ac:dyDescent="0.2">
      <c r="A319">
        <v>21</v>
      </c>
      <c r="B319">
        <v>104.25</v>
      </c>
      <c r="C319" t="s">
        <v>2751</v>
      </c>
      <c r="D319" t="s">
        <v>2121</v>
      </c>
    </row>
    <row r="320" spans="1:4" x14ac:dyDescent="0.2">
      <c r="A320">
        <v>21</v>
      </c>
      <c r="B320">
        <v>104.5</v>
      </c>
      <c r="C320" t="s">
        <v>2752</v>
      </c>
      <c r="D320" t="s">
        <v>2121</v>
      </c>
    </row>
    <row r="321" spans="1:4" x14ac:dyDescent="0.2">
      <c r="A321">
        <v>21</v>
      </c>
      <c r="B321">
        <v>104.75</v>
      </c>
      <c r="C321" t="s">
        <v>1416</v>
      </c>
      <c r="D321" t="s">
        <v>2121</v>
      </c>
    </row>
    <row r="322" spans="1:4" x14ac:dyDescent="0.2">
      <c r="A322">
        <v>21</v>
      </c>
      <c r="B322">
        <v>105</v>
      </c>
      <c r="C322" t="s">
        <v>2753</v>
      </c>
      <c r="D322" t="s">
        <v>1225</v>
      </c>
    </row>
    <row r="323" spans="1:4" x14ac:dyDescent="0.2">
      <c r="A323">
        <v>21</v>
      </c>
      <c r="B323">
        <v>105.25</v>
      </c>
      <c r="C323" t="s">
        <v>2754</v>
      </c>
      <c r="D323" t="s">
        <v>1225</v>
      </c>
    </row>
    <row r="324" spans="1:4" x14ac:dyDescent="0.2">
      <c r="A324">
        <v>21</v>
      </c>
      <c r="B324">
        <v>105.5</v>
      </c>
      <c r="C324" t="s">
        <v>2755</v>
      </c>
      <c r="D324" t="s">
        <v>864</v>
      </c>
    </row>
    <row r="325" spans="1:4" x14ac:dyDescent="0.2">
      <c r="A325">
        <v>21</v>
      </c>
      <c r="B325">
        <v>105.75</v>
      </c>
      <c r="C325" t="s">
        <v>2756</v>
      </c>
      <c r="D325" t="s">
        <v>864</v>
      </c>
    </row>
    <row r="326" spans="1:4" x14ac:dyDescent="0.2">
      <c r="A326">
        <v>21</v>
      </c>
      <c r="B326">
        <v>106</v>
      </c>
      <c r="C326" t="s">
        <v>1291</v>
      </c>
      <c r="D326" t="s">
        <v>1261</v>
      </c>
    </row>
    <row r="327" spans="1:4" x14ac:dyDescent="0.2">
      <c r="A327">
        <v>21</v>
      </c>
      <c r="B327">
        <v>106.25</v>
      </c>
      <c r="C327" t="s">
        <v>199</v>
      </c>
      <c r="D327" t="s">
        <v>100</v>
      </c>
    </row>
    <row r="328" spans="1:4" x14ac:dyDescent="0.2">
      <c r="A328">
        <v>21</v>
      </c>
      <c r="B328">
        <v>106.5</v>
      </c>
      <c r="C328" t="s">
        <v>2757</v>
      </c>
      <c r="D328" t="s">
        <v>1019</v>
      </c>
    </row>
    <row r="329" spans="1:4" x14ac:dyDescent="0.2">
      <c r="A329">
        <v>21</v>
      </c>
      <c r="B329">
        <v>106.75</v>
      </c>
      <c r="C329" t="s">
        <v>2040</v>
      </c>
      <c r="D329" t="s">
        <v>1869</v>
      </c>
    </row>
    <row r="330" spans="1:4" x14ac:dyDescent="0.2">
      <c r="A330">
        <v>21</v>
      </c>
      <c r="B330">
        <v>107</v>
      </c>
      <c r="C330" t="s">
        <v>2758</v>
      </c>
      <c r="D330" t="s">
        <v>1869</v>
      </c>
    </row>
    <row r="331" spans="1:4" x14ac:dyDescent="0.2">
      <c r="A331">
        <v>21</v>
      </c>
      <c r="B331">
        <v>107.25</v>
      </c>
      <c r="C331" t="s">
        <v>2759</v>
      </c>
      <c r="D331" t="s">
        <v>1869</v>
      </c>
    </row>
    <row r="332" spans="1:4" x14ac:dyDescent="0.2">
      <c r="A332">
        <v>21</v>
      </c>
      <c r="B332">
        <v>107.5</v>
      </c>
      <c r="C332" t="s">
        <v>2043</v>
      </c>
      <c r="D332" t="s">
        <v>1869</v>
      </c>
    </row>
    <row r="333" spans="1:4" x14ac:dyDescent="0.2">
      <c r="A333">
        <v>21</v>
      </c>
      <c r="B333">
        <v>107.75</v>
      </c>
      <c r="C333" t="s">
        <v>2007</v>
      </c>
      <c r="D333" t="s">
        <v>1869</v>
      </c>
    </row>
    <row r="334" spans="1:4" x14ac:dyDescent="0.2">
      <c r="A334">
        <v>21.25</v>
      </c>
      <c r="B334">
        <v>103</v>
      </c>
      <c r="C334" t="s">
        <v>2760</v>
      </c>
      <c r="D334" t="s">
        <v>625</v>
      </c>
    </row>
    <row r="335" spans="1:4" x14ac:dyDescent="0.2">
      <c r="A335">
        <v>21.25</v>
      </c>
      <c r="B335">
        <v>103.25</v>
      </c>
      <c r="C335" t="s">
        <v>631</v>
      </c>
      <c r="D335" t="s">
        <v>625</v>
      </c>
    </row>
    <row r="336" spans="1:4" x14ac:dyDescent="0.2">
      <c r="A336">
        <v>21.25</v>
      </c>
      <c r="B336">
        <v>103.5</v>
      </c>
      <c r="C336" t="s">
        <v>2761</v>
      </c>
      <c r="D336" t="s">
        <v>2121</v>
      </c>
    </row>
    <row r="337" spans="1:4" x14ac:dyDescent="0.2">
      <c r="A337">
        <v>21.25</v>
      </c>
      <c r="B337">
        <v>103.75</v>
      </c>
      <c r="C337" t="s">
        <v>2762</v>
      </c>
      <c r="D337" t="s">
        <v>2121</v>
      </c>
    </row>
    <row r="338" spans="1:4" x14ac:dyDescent="0.2">
      <c r="A338">
        <v>21.25</v>
      </c>
      <c r="B338">
        <v>104</v>
      </c>
      <c r="C338" t="s">
        <v>2763</v>
      </c>
      <c r="D338" t="s">
        <v>2121</v>
      </c>
    </row>
    <row r="339" spans="1:4" x14ac:dyDescent="0.2">
      <c r="A339">
        <v>21.25</v>
      </c>
      <c r="B339">
        <v>104.25</v>
      </c>
      <c r="C339" t="s">
        <v>2764</v>
      </c>
      <c r="D339" t="s">
        <v>2121</v>
      </c>
    </row>
    <row r="340" spans="1:4" x14ac:dyDescent="0.2">
      <c r="A340">
        <v>21.25</v>
      </c>
      <c r="B340">
        <v>104.5</v>
      </c>
      <c r="C340" t="s">
        <v>2122</v>
      </c>
      <c r="D340" t="s">
        <v>2121</v>
      </c>
    </row>
    <row r="341" spans="1:4" x14ac:dyDescent="0.2">
      <c r="A341">
        <v>21.25</v>
      </c>
      <c r="B341">
        <v>104.75</v>
      </c>
      <c r="C341" t="s">
        <v>2765</v>
      </c>
      <c r="D341" t="s">
        <v>2121</v>
      </c>
    </row>
    <row r="342" spans="1:4" x14ac:dyDescent="0.2">
      <c r="A342">
        <v>21.25</v>
      </c>
      <c r="B342">
        <v>105</v>
      </c>
      <c r="C342" t="s">
        <v>1792</v>
      </c>
      <c r="D342" t="s">
        <v>1225</v>
      </c>
    </row>
    <row r="343" spans="1:4" x14ac:dyDescent="0.2">
      <c r="A343">
        <v>21.25</v>
      </c>
      <c r="B343">
        <v>105.25</v>
      </c>
      <c r="C343" t="s">
        <v>2766</v>
      </c>
      <c r="D343" t="s">
        <v>1225</v>
      </c>
    </row>
    <row r="344" spans="1:4" x14ac:dyDescent="0.2">
      <c r="A344">
        <v>21.25</v>
      </c>
      <c r="B344">
        <v>105.5</v>
      </c>
      <c r="C344" t="s">
        <v>2521</v>
      </c>
      <c r="D344" t="s">
        <v>1225</v>
      </c>
    </row>
    <row r="345" spans="1:4" x14ac:dyDescent="0.2">
      <c r="A345">
        <v>21.25</v>
      </c>
      <c r="B345">
        <v>105.75</v>
      </c>
      <c r="C345" t="s">
        <v>2767</v>
      </c>
      <c r="D345" t="s">
        <v>864</v>
      </c>
    </row>
    <row r="346" spans="1:4" x14ac:dyDescent="0.2">
      <c r="A346">
        <v>21.25</v>
      </c>
      <c r="B346">
        <v>106</v>
      </c>
      <c r="C346" t="s">
        <v>2768</v>
      </c>
      <c r="D346" t="s">
        <v>100</v>
      </c>
    </row>
    <row r="347" spans="1:4" x14ac:dyDescent="0.2">
      <c r="A347">
        <v>21.25</v>
      </c>
      <c r="B347">
        <v>106.25</v>
      </c>
      <c r="C347" t="s">
        <v>2769</v>
      </c>
      <c r="D347" t="s">
        <v>100</v>
      </c>
    </row>
    <row r="348" spans="1:4" x14ac:dyDescent="0.2">
      <c r="A348">
        <v>21.25</v>
      </c>
      <c r="B348">
        <v>106.5</v>
      </c>
      <c r="C348" t="s">
        <v>111</v>
      </c>
      <c r="D348" t="s">
        <v>100</v>
      </c>
    </row>
    <row r="349" spans="1:4" x14ac:dyDescent="0.2">
      <c r="A349">
        <v>21.25</v>
      </c>
      <c r="B349">
        <v>106.75</v>
      </c>
      <c r="C349" t="s">
        <v>2770</v>
      </c>
      <c r="D349" t="s">
        <v>100</v>
      </c>
    </row>
    <row r="350" spans="1:4" x14ac:dyDescent="0.2">
      <c r="A350">
        <v>21.25</v>
      </c>
      <c r="B350">
        <v>107</v>
      </c>
      <c r="C350" t="s">
        <v>2771</v>
      </c>
      <c r="D350" t="s">
        <v>1869</v>
      </c>
    </row>
    <row r="351" spans="1:4" x14ac:dyDescent="0.2">
      <c r="A351">
        <v>21.25</v>
      </c>
      <c r="B351">
        <v>107.25</v>
      </c>
      <c r="C351" t="s">
        <v>1996</v>
      </c>
      <c r="D351" t="s">
        <v>1869</v>
      </c>
    </row>
    <row r="352" spans="1:4" x14ac:dyDescent="0.2">
      <c r="A352">
        <v>21.25</v>
      </c>
      <c r="B352">
        <v>107.5</v>
      </c>
      <c r="C352" t="s">
        <v>2043</v>
      </c>
      <c r="D352" t="s">
        <v>1869</v>
      </c>
    </row>
    <row r="353" spans="1:4" x14ac:dyDescent="0.2">
      <c r="A353">
        <v>21.5</v>
      </c>
      <c r="B353">
        <v>103</v>
      </c>
      <c r="C353" t="s">
        <v>2772</v>
      </c>
      <c r="D353" t="s">
        <v>625</v>
      </c>
    </row>
    <row r="354" spans="1:4" x14ac:dyDescent="0.2">
      <c r="A354">
        <v>21.5</v>
      </c>
      <c r="B354">
        <v>103.25</v>
      </c>
      <c r="C354" t="s">
        <v>636</v>
      </c>
      <c r="D354" t="s">
        <v>625</v>
      </c>
    </row>
    <row r="355" spans="1:4" x14ac:dyDescent="0.2">
      <c r="A355">
        <v>21.5</v>
      </c>
      <c r="B355">
        <v>103.5</v>
      </c>
      <c r="C355" t="s">
        <v>2773</v>
      </c>
      <c r="D355" t="s">
        <v>2121</v>
      </c>
    </row>
    <row r="356" spans="1:4" x14ac:dyDescent="0.2">
      <c r="A356">
        <v>21.5</v>
      </c>
      <c r="B356">
        <v>103.75</v>
      </c>
      <c r="C356" t="s">
        <v>2774</v>
      </c>
      <c r="D356" t="s">
        <v>2121</v>
      </c>
    </row>
    <row r="357" spans="1:4" x14ac:dyDescent="0.2">
      <c r="A357">
        <v>21.5</v>
      </c>
      <c r="B357">
        <v>104</v>
      </c>
      <c r="C357" t="s">
        <v>2132</v>
      </c>
      <c r="D357" t="s">
        <v>2121</v>
      </c>
    </row>
    <row r="358" spans="1:4" x14ac:dyDescent="0.2">
      <c r="A358">
        <v>21.5</v>
      </c>
      <c r="B358">
        <v>104.25</v>
      </c>
      <c r="C358" t="s">
        <v>2775</v>
      </c>
      <c r="D358" t="s">
        <v>2121</v>
      </c>
    </row>
    <row r="359" spans="1:4" x14ac:dyDescent="0.2">
      <c r="A359">
        <v>21.5</v>
      </c>
      <c r="B359">
        <v>104.5</v>
      </c>
      <c r="C359" t="s">
        <v>2776</v>
      </c>
      <c r="D359" t="s">
        <v>1529</v>
      </c>
    </row>
    <row r="360" spans="1:4" x14ac:dyDescent="0.2">
      <c r="A360">
        <v>21.5</v>
      </c>
      <c r="B360">
        <v>104.75</v>
      </c>
      <c r="C360" t="s">
        <v>2777</v>
      </c>
      <c r="D360" t="s">
        <v>1529</v>
      </c>
    </row>
    <row r="361" spans="1:4" x14ac:dyDescent="0.2">
      <c r="A361">
        <v>21.5</v>
      </c>
      <c r="B361">
        <v>105</v>
      </c>
      <c r="C361" t="s">
        <v>2778</v>
      </c>
      <c r="D361" t="s">
        <v>1225</v>
      </c>
    </row>
    <row r="362" spans="1:4" x14ac:dyDescent="0.2">
      <c r="A362">
        <v>21.5</v>
      </c>
      <c r="B362">
        <v>105.25</v>
      </c>
      <c r="C362" t="s">
        <v>2779</v>
      </c>
      <c r="D362" t="s">
        <v>1225</v>
      </c>
    </row>
    <row r="363" spans="1:4" x14ac:dyDescent="0.2">
      <c r="A363">
        <v>21.5</v>
      </c>
      <c r="B363">
        <v>105.5</v>
      </c>
      <c r="C363" t="s">
        <v>2780</v>
      </c>
      <c r="D363" t="s">
        <v>1225</v>
      </c>
    </row>
    <row r="364" spans="1:4" x14ac:dyDescent="0.2">
      <c r="A364">
        <v>21.5</v>
      </c>
      <c r="B364">
        <v>105.75</v>
      </c>
      <c r="C364" t="s">
        <v>2230</v>
      </c>
      <c r="D364" t="s">
        <v>139</v>
      </c>
    </row>
    <row r="365" spans="1:4" x14ac:dyDescent="0.2">
      <c r="A365">
        <v>21.5</v>
      </c>
      <c r="B365">
        <v>106</v>
      </c>
      <c r="C365" t="s">
        <v>85</v>
      </c>
      <c r="D365" t="s">
        <v>139</v>
      </c>
    </row>
    <row r="366" spans="1:4" x14ac:dyDescent="0.2">
      <c r="A366">
        <v>21.5</v>
      </c>
      <c r="B366">
        <v>106.25</v>
      </c>
      <c r="C366" t="s">
        <v>2781</v>
      </c>
      <c r="D366" t="s">
        <v>1486</v>
      </c>
    </row>
    <row r="367" spans="1:4" x14ac:dyDescent="0.2">
      <c r="A367">
        <v>21.5</v>
      </c>
      <c r="B367">
        <v>106.5</v>
      </c>
      <c r="C367" t="s">
        <v>85</v>
      </c>
      <c r="D367" t="s">
        <v>1486</v>
      </c>
    </row>
    <row r="368" spans="1:4" x14ac:dyDescent="0.2">
      <c r="A368">
        <v>21.5</v>
      </c>
      <c r="B368">
        <v>106.75</v>
      </c>
      <c r="C368" t="s">
        <v>115</v>
      </c>
      <c r="D368" t="s">
        <v>100</v>
      </c>
    </row>
    <row r="369" spans="1:4" x14ac:dyDescent="0.2">
      <c r="A369">
        <v>21.5</v>
      </c>
      <c r="B369">
        <v>107</v>
      </c>
      <c r="C369" t="s">
        <v>2191</v>
      </c>
      <c r="D369" t="s">
        <v>1486</v>
      </c>
    </row>
    <row r="370" spans="1:4" x14ac:dyDescent="0.2">
      <c r="A370">
        <v>21.5</v>
      </c>
      <c r="B370">
        <v>107.25</v>
      </c>
      <c r="C370" t="s">
        <v>2782</v>
      </c>
      <c r="D370" t="s">
        <v>1869</v>
      </c>
    </row>
    <row r="371" spans="1:4" x14ac:dyDescent="0.2">
      <c r="A371">
        <v>21.5</v>
      </c>
      <c r="B371">
        <v>107.5</v>
      </c>
      <c r="C371" t="s">
        <v>1999</v>
      </c>
      <c r="D371" t="s">
        <v>1869</v>
      </c>
    </row>
    <row r="372" spans="1:4" x14ac:dyDescent="0.2">
      <c r="A372">
        <v>21.5</v>
      </c>
      <c r="B372">
        <v>107.75</v>
      </c>
      <c r="C372" t="s">
        <v>2783</v>
      </c>
      <c r="D372" t="s">
        <v>1869</v>
      </c>
    </row>
    <row r="373" spans="1:4" x14ac:dyDescent="0.2">
      <c r="A373">
        <v>21.5</v>
      </c>
      <c r="B373">
        <v>108</v>
      </c>
      <c r="C373" t="s">
        <v>2784</v>
      </c>
      <c r="D373" t="s">
        <v>1869</v>
      </c>
    </row>
    <row r="374" spans="1:4" x14ac:dyDescent="0.2">
      <c r="A374">
        <v>21.75</v>
      </c>
      <c r="B374">
        <v>102.75</v>
      </c>
      <c r="C374" t="s">
        <v>2785</v>
      </c>
      <c r="D374" t="s">
        <v>625</v>
      </c>
    </row>
    <row r="375" spans="1:4" x14ac:dyDescent="0.2">
      <c r="A375">
        <v>21.75</v>
      </c>
      <c r="B375">
        <v>103</v>
      </c>
      <c r="C375" t="s">
        <v>641</v>
      </c>
      <c r="D375" t="s">
        <v>625</v>
      </c>
    </row>
    <row r="376" spans="1:4" x14ac:dyDescent="0.2">
      <c r="A376">
        <v>21.75</v>
      </c>
      <c r="B376">
        <v>103.25</v>
      </c>
      <c r="C376" t="s">
        <v>2786</v>
      </c>
      <c r="D376" t="s">
        <v>625</v>
      </c>
    </row>
    <row r="377" spans="1:4" x14ac:dyDescent="0.2">
      <c r="A377">
        <v>21.75</v>
      </c>
      <c r="B377">
        <v>103.5</v>
      </c>
      <c r="C377" t="s">
        <v>2787</v>
      </c>
      <c r="D377" t="s">
        <v>625</v>
      </c>
    </row>
    <row r="378" spans="1:4" x14ac:dyDescent="0.2">
      <c r="A378">
        <v>21.75</v>
      </c>
      <c r="B378">
        <v>103.75</v>
      </c>
      <c r="C378" t="s">
        <v>2140</v>
      </c>
      <c r="D378" t="s">
        <v>2121</v>
      </c>
    </row>
    <row r="379" spans="1:4" x14ac:dyDescent="0.2">
      <c r="A379">
        <v>21.75</v>
      </c>
      <c r="B379">
        <v>104</v>
      </c>
      <c r="C379" t="s">
        <v>2788</v>
      </c>
      <c r="D379" t="s">
        <v>1529</v>
      </c>
    </row>
    <row r="380" spans="1:4" x14ac:dyDescent="0.2">
      <c r="A380">
        <v>21.75</v>
      </c>
      <c r="B380">
        <v>104.25</v>
      </c>
      <c r="C380" t="s">
        <v>2789</v>
      </c>
      <c r="D380" t="s">
        <v>1529</v>
      </c>
    </row>
    <row r="381" spans="1:4" x14ac:dyDescent="0.2">
      <c r="A381">
        <v>21.75</v>
      </c>
      <c r="B381">
        <v>104.5</v>
      </c>
      <c r="C381" t="s">
        <v>2790</v>
      </c>
      <c r="D381" t="s">
        <v>1529</v>
      </c>
    </row>
    <row r="382" spans="1:4" x14ac:dyDescent="0.2">
      <c r="A382">
        <v>21.75</v>
      </c>
      <c r="B382">
        <v>104.75</v>
      </c>
      <c r="C382" t="s">
        <v>2791</v>
      </c>
      <c r="D382" t="s">
        <v>1529</v>
      </c>
    </row>
    <row r="383" spans="1:4" x14ac:dyDescent="0.2">
      <c r="A383">
        <v>21.75</v>
      </c>
      <c r="B383">
        <v>105</v>
      </c>
      <c r="C383" t="s">
        <v>2792</v>
      </c>
      <c r="D383" t="s">
        <v>1529</v>
      </c>
    </row>
    <row r="384" spans="1:4" x14ac:dyDescent="0.2">
      <c r="A384">
        <v>21.75</v>
      </c>
      <c r="B384">
        <v>105.25</v>
      </c>
      <c r="C384" t="s">
        <v>365</v>
      </c>
      <c r="D384" t="s">
        <v>803</v>
      </c>
    </row>
    <row r="385" spans="1:4" x14ac:dyDescent="0.2">
      <c r="A385">
        <v>21.75</v>
      </c>
      <c r="B385">
        <v>105.5</v>
      </c>
      <c r="C385" t="s">
        <v>2793</v>
      </c>
      <c r="D385" t="s">
        <v>803</v>
      </c>
    </row>
    <row r="386" spans="1:4" x14ac:dyDescent="0.2">
      <c r="A386">
        <v>21.75</v>
      </c>
      <c r="B386">
        <v>105.75</v>
      </c>
      <c r="C386" t="s">
        <v>897</v>
      </c>
      <c r="D386" t="s">
        <v>139</v>
      </c>
    </row>
    <row r="387" spans="1:4" x14ac:dyDescent="0.2">
      <c r="A387">
        <v>21.75</v>
      </c>
      <c r="B387">
        <v>106</v>
      </c>
      <c r="C387" t="s">
        <v>2244</v>
      </c>
      <c r="D387" t="s">
        <v>139</v>
      </c>
    </row>
    <row r="388" spans="1:4" x14ac:dyDescent="0.2">
      <c r="A388">
        <v>21.75</v>
      </c>
      <c r="B388">
        <v>106.25</v>
      </c>
      <c r="C388" t="s">
        <v>2794</v>
      </c>
      <c r="D388" t="s">
        <v>1486</v>
      </c>
    </row>
    <row r="389" spans="1:4" x14ac:dyDescent="0.2">
      <c r="A389">
        <v>21.75</v>
      </c>
      <c r="B389">
        <v>106.5</v>
      </c>
      <c r="C389" t="s">
        <v>2795</v>
      </c>
      <c r="D389" t="s">
        <v>1486</v>
      </c>
    </row>
    <row r="390" spans="1:4" x14ac:dyDescent="0.2">
      <c r="A390">
        <v>21.75</v>
      </c>
      <c r="B390">
        <v>106.75</v>
      </c>
      <c r="C390" t="s">
        <v>2796</v>
      </c>
      <c r="D390" t="s">
        <v>1486</v>
      </c>
    </row>
    <row r="391" spans="1:4" x14ac:dyDescent="0.2">
      <c r="A391">
        <v>21.75</v>
      </c>
      <c r="B391">
        <v>107</v>
      </c>
      <c r="C391" t="s">
        <v>2797</v>
      </c>
      <c r="D391" t="s">
        <v>1486</v>
      </c>
    </row>
    <row r="392" spans="1:4" x14ac:dyDescent="0.2">
      <c r="A392">
        <v>22</v>
      </c>
      <c r="B392">
        <v>102.5</v>
      </c>
      <c r="C392" t="s">
        <v>2798</v>
      </c>
      <c r="D392" t="s">
        <v>625</v>
      </c>
    </row>
    <row r="393" spans="1:4" x14ac:dyDescent="0.2">
      <c r="A393">
        <v>22</v>
      </c>
      <c r="B393">
        <v>102.75</v>
      </c>
      <c r="C393" t="s">
        <v>639</v>
      </c>
      <c r="D393" t="s">
        <v>625</v>
      </c>
    </row>
    <row r="394" spans="1:4" x14ac:dyDescent="0.2">
      <c r="A394">
        <v>22</v>
      </c>
      <c r="B394">
        <v>103</v>
      </c>
      <c r="C394" t="s">
        <v>2799</v>
      </c>
      <c r="D394" t="s">
        <v>625</v>
      </c>
    </row>
    <row r="395" spans="1:4" x14ac:dyDescent="0.2">
      <c r="A395">
        <v>22</v>
      </c>
      <c r="B395">
        <v>103.25</v>
      </c>
      <c r="C395" t="s">
        <v>651</v>
      </c>
      <c r="D395" t="s">
        <v>625</v>
      </c>
    </row>
    <row r="396" spans="1:4" x14ac:dyDescent="0.2">
      <c r="A396">
        <v>22</v>
      </c>
      <c r="B396">
        <v>103.5</v>
      </c>
      <c r="C396" t="s">
        <v>2800</v>
      </c>
      <c r="D396" t="s">
        <v>1414</v>
      </c>
    </row>
    <row r="397" spans="1:4" x14ac:dyDescent="0.2">
      <c r="A397">
        <v>22</v>
      </c>
      <c r="B397">
        <v>103.75</v>
      </c>
      <c r="C397" t="s">
        <v>2801</v>
      </c>
      <c r="D397" t="s">
        <v>1414</v>
      </c>
    </row>
    <row r="398" spans="1:4" x14ac:dyDescent="0.2">
      <c r="A398">
        <v>22</v>
      </c>
      <c r="B398">
        <v>104</v>
      </c>
      <c r="C398" t="s">
        <v>2802</v>
      </c>
      <c r="D398" t="s">
        <v>1529</v>
      </c>
    </row>
    <row r="399" spans="1:4" x14ac:dyDescent="0.2">
      <c r="A399">
        <v>22</v>
      </c>
      <c r="B399">
        <v>104.25</v>
      </c>
      <c r="C399" t="s">
        <v>2803</v>
      </c>
      <c r="D399" t="s">
        <v>1529</v>
      </c>
    </row>
    <row r="400" spans="1:4" x14ac:dyDescent="0.2">
      <c r="A400">
        <v>22</v>
      </c>
      <c r="B400">
        <v>104.5</v>
      </c>
      <c r="C400" t="s">
        <v>2804</v>
      </c>
      <c r="D400" t="s">
        <v>1529</v>
      </c>
    </row>
    <row r="401" spans="1:4" x14ac:dyDescent="0.2">
      <c r="A401">
        <v>22</v>
      </c>
      <c r="B401">
        <v>104.75</v>
      </c>
      <c r="C401" t="s">
        <v>2805</v>
      </c>
      <c r="D401" t="s">
        <v>1529</v>
      </c>
    </row>
    <row r="402" spans="1:4" x14ac:dyDescent="0.2">
      <c r="A402">
        <v>22</v>
      </c>
      <c r="B402">
        <v>105</v>
      </c>
      <c r="C402" t="s">
        <v>2451</v>
      </c>
      <c r="D402" t="s">
        <v>803</v>
      </c>
    </row>
    <row r="403" spans="1:4" x14ac:dyDescent="0.2">
      <c r="A403">
        <v>22</v>
      </c>
      <c r="B403">
        <v>105.25</v>
      </c>
      <c r="C403" t="s">
        <v>2806</v>
      </c>
      <c r="D403" t="s">
        <v>803</v>
      </c>
    </row>
    <row r="404" spans="1:4" x14ac:dyDescent="0.2">
      <c r="A404">
        <v>22</v>
      </c>
      <c r="B404">
        <v>105.5</v>
      </c>
      <c r="C404" t="s">
        <v>2807</v>
      </c>
      <c r="D404" t="s">
        <v>803</v>
      </c>
    </row>
    <row r="405" spans="1:4" x14ac:dyDescent="0.2">
      <c r="A405">
        <v>22</v>
      </c>
      <c r="B405">
        <v>105.75</v>
      </c>
      <c r="C405" t="s">
        <v>2808</v>
      </c>
      <c r="D405" t="s">
        <v>139</v>
      </c>
    </row>
    <row r="406" spans="1:4" x14ac:dyDescent="0.2">
      <c r="A406">
        <v>22</v>
      </c>
      <c r="B406">
        <v>106</v>
      </c>
      <c r="C406" t="s">
        <v>2809</v>
      </c>
      <c r="D406" t="s">
        <v>139</v>
      </c>
    </row>
    <row r="407" spans="1:4" x14ac:dyDescent="0.2">
      <c r="A407">
        <v>22</v>
      </c>
      <c r="B407">
        <v>106.25</v>
      </c>
      <c r="C407" t="s">
        <v>1493</v>
      </c>
      <c r="D407" t="s">
        <v>1486</v>
      </c>
    </row>
    <row r="408" spans="1:4" x14ac:dyDescent="0.2">
      <c r="A408">
        <v>22</v>
      </c>
      <c r="B408">
        <v>106.5</v>
      </c>
      <c r="C408" t="s">
        <v>2810</v>
      </c>
      <c r="D408" t="s">
        <v>1486</v>
      </c>
    </row>
    <row r="409" spans="1:4" x14ac:dyDescent="0.2">
      <c r="A409">
        <v>22</v>
      </c>
      <c r="B409">
        <v>106.75</v>
      </c>
      <c r="C409" t="s">
        <v>2811</v>
      </c>
      <c r="D409" t="s">
        <v>1486</v>
      </c>
    </row>
    <row r="410" spans="1:4" x14ac:dyDescent="0.2">
      <c r="A410">
        <v>22.25</v>
      </c>
      <c r="B410">
        <v>102.25</v>
      </c>
      <c r="C410" t="s">
        <v>2812</v>
      </c>
      <c r="D410" t="s">
        <v>625</v>
      </c>
    </row>
    <row r="411" spans="1:4" x14ac:dyDescent="0.2">
      <c r="A411">
        <v>22.25</v>
      </c>
      <c r="B411">
        <v>102.5</v>
      </c>
      <c r="C411" t="s">
        <v>643</v>
      </c>
      <c r="D411" t="s">
        <v>625</v>
      </c>
    </row>
    <row r="412" spans="1:4" x14ac:dyDescent="0.2">
      <c r="A412">
        <v>22.25</v>
      </c>
      <c r="B412">
        <v>102.75</v>
      </c>
      <c r="C412" t="s">
        <v>2813</v>
      </c>
      <c r="D412" t="s">
        <v>1414</v>
      </c>
    </row>
    <row r="413" spans="1:4" x14ac:dyDescent="0.2">
      <c r="A413">
        <v>22.25</v>
      </c>
      <c r="B413">
        <v>103</v>
      </c>
      <c r="C413" t="s">
        <v>1423</v>
      </c>
      <c r="D413" t="s">
        <v>1414</v>
      </c>
    </row>
    <row r="414" spans="1:4" x14ac:dyDescent="0.2">
      <c r="A414">
        <v>22.25</v>
      </c>
      <c r="B414">
        <v>103.25</v>
      </c>
      <c r="C414" t="s">
        <v>1431</v>
      </c>
      <c r="D414" t="s">
        <v>1414</v>
      </c>
    </row>
    <row r="415" spans="1:4" x14ac:dyDescent="0.2">
      <c r="A415">
        <v>22.25</v>
      </c>
      <c r="B415">
        <v>103.5</v>
      </c>
      <c r="C415" t="s">
        <v>2814</v>
      </c>
      <c r="D415" t="s">
        <v>1414</v>
      </c>
    </row>
    <row r="416" spans="1:4" x14ac:dyDescent="0.2">
      <c r="A416">
        <v>22.25</v>
      </c>
      <c r="B416">
        <v>103.75</v>
      </c>
      <c r="C416" t="s">
        <v>2815</v>
      </c>
      <c r="D416" t="s">
        <v>1414</v>
      </c>
    </row>
    <row r="417" spans="1:4" x14ac:dyDescent="0.2">
      <c r="A417">
        <v>22.25</v>
      </c>
      <c r="B417">
        <v>104</v>
      </c>
      <c r="C417" t="s">
        <v>2816</v>
      </c>
      <c r="D417" t="s">
        <v>1529</v>
      </c>
    </row>
    <row r="418" spans="1:4" x14ac:dyDescent="0.2">
      <c r="A418">
        <v>22.25</v>
      </c>
      <c r="B418">
        <v>104.25</v>
      </c>
      <c r="C418" t="s">
        <v>2817</v>
      </c>
      <c r="D418" t="s">
        <v>1529</v>
      </c>
    </row>
    <row r="419" spans="1:4" x14ac:dyDescent="0.2">
      <c r="A419">
        <v>22.25</v>
      </c>
      <c r="B419">
        <v>104.5</v>
      </c>
      <c r="C419" t="s">
        <v>1536</v>
      </c>
      <c r="D419" t="s">
        <v>1529</v>
      </c>
    </row>
    <row r="420" spans="1:4" x14ac:dyDescent="0.2">
      <c r="A420">
        <v>22.25</v>
      </c>
      <c r="B420">
        <v>104.75</v>
      </c>
      <c r="C420" t="s">
        <v>2037</v>
      </c>
      <c r="D420" t="s">
        <v>803</v>
      </c>
    </row>
    <row r="421" spans="1:4" x14ac:dyDescent="0.2">
      <c r="A421">
        <v>22.25</v>
      </c>
      <c r="B421">
        <v>105</v>
      </c>
      <c r="C421" t="s">
        <v>2818</v>
      </c>
      <c r="D421" t="s">
        <v>803</v>
      </c>
    </row>
    <row r="422" spans="1:4" x14ac:dyDescent="0.2">
      <c r="A422">
        <v>22.25</v>
      </c>
      <c r="B422">
        <v>105.25</v>
      </c>
      <c r="C422" t="s">
        <v>1203</v>
      </c>
      <c r="D422" t="s">
        <v>803</v>
      </c>
    </row>
    <row r="423" spans="1:4" x14ac:dyDescent="0.2">
      <c r="A423">
        <v>22.25</v>
      </c>
      <c r="B423">
        <v>105.5</v>
      </c>
      <c r="C423" t="s">
        <v>2819</v>
      </c>
      <c r="D423" t="s">
        <v>803</v>
      </c>
    </row>
    <row r="424" spans="1:4" x14ac:dyDescent="0.2">
      <c r="A424">
        <v>22.25</v>
      </c>
      <c r="B424">
        <v>105.75</v>
      </c>
      <c r="C424" t="s">
        <v>2820</v>
      </c>
      <c r="D424" t="s">
        <v>139</v>
      </c>
    </row>
    <row r="425" spans="1:4" x14ac:dyDescent="0.2">
      <c r="A425">
        <v>22.25</v>
      </c>
      <c r="B425">
        <v>106</v>
      </c>
      <c r="C425" t="s">
        <v>2778</v>
      </c>
      <c r="D425" t="s">
        <v>139</v>
      </c>
    </row>
    <row r="426" spans="1:4" x14ac:dyDescent="0.2">
      <c r="A426">
        <v>22.25</v>
      </c>
      <c r="B426">
        <v>106.25</v>
      </c>
      <c r="C426" t="s">
        <v>2769</v>
      </c>
      <c r="D426" t="s">
        <v>1486</v>
      </c>
    </row>
    <row r="427" spans="1:4" x14ac:dyDescent="0.2">
      <c r="A427">
        <v>22.25</v>
      </c>
      <c r="B427">
        <v>106.5</v>
      </c>
      <c r="C427" t="s">
        <v>1519</v>
      </c>
      <c r="D427" t="s">
        <v>1486</v>
      </c>
    </row>
    <row r="428" spans="1:4" x14ac:dyDescent="0.2">
      <c r="A428">
        <v>22.5</v>
      </c>
      <c r="B428">
        <v>102.5</v>
      </c>
      <c r="C428" t="s">
        <v>2821</v>
      </c>
      <c r="D428" t="s">
        <v>1414</v>
      </c>
    </row>
    <row r="429" spans="1:4" x14ac:dyDescent="0.2">
      <c r="A429">
        <v>22.5</v>
      </c>
      <c r="B429">
        <v>102.75</v>
      </c>
      <c r="C429" t="s">
        <v>2813</v>
      </c>
      <c r="D429" t="s">
        <v>1414</v>
      </c>
    </row>
    <row r="430" spans="1:4" x14ac:dyDescent="0.2">
      <c r="A430">
        <v>22.5</v>
      </c>
      <c r="B430">
        <v>103.25</v>
      </c>
      <c r="C430" t="s">
        <v>2822</v>
      </c>
      <c r="D430" t="s">
        <v>1414</v>
      </c>
    </row>
    <row r="431" spans="1:4" x14ac:dyDescent="0.2">
      <c r="A431">
        <v>22.5</v>
      </c>
      <c r="B431">
        <v>103.5</v>
      </c>
      <c r="C431" t="s">
        <v>2823</v>
      </c>
      <c r="D431" t="s">
        <v>1414</v>
      </c>
    </row>
    <row r="432" spans="1:4" x14ac:dyDescent="0.2">
      <c r="A432">
        <v>22.5</v>
      </c>
      <c r="B432">
        <v>103.75</v>
      </c>
      <c r="C432" t="s">
        <v>2824</v>
      </c>
      <c r="D432" t="s">
        <v>1529</v>
      </c>
    </row>
    <row r="433" spans="1:4" x14ac:dyDescent="0.2">
      <c r="A433">
        <v>22.5</v>
      </c>
      <c r="B433">
        <v>104</v>
      </c>
      <c r="C433" t="s">
        <v>1529</v>
      </c>
      <c r="D433" t="s">
        <v>1529</v>
      </c>
    </row>
    <row r="434" spans="1:4" x14ac:dyDescent="0.2">
      <c r="A434">
        <v>22.5</v>
      </c>
      <c r="B434">
        <v>104.25</v>
      </c>
      <c r="C434" t="s">
        <v>1530</v>
      </c>
      <c r="D434" t="s">
        <v>1529</v>
      </c>
    </row>
    <row r="435" spans="1:4" x14ac:dyDescent="0.2">
      <c r="A435">
        <v>22.5</v>
      </c>
      <c r="B435">
        <v>104.5</v>
      </c>
      <c r="C435" t="s">
        <v>2825</v>
      </c>
      <c r="D435" t="s">
        <v>803</v>
      </c>
    </row>
    <row r="436" spans="1:4" x14ac:dyDescent="0.2">
      <c r="A436">
        <v>22.5</v>
      </c>
      <c r="B436">
        <v>104.75</v>
      </c>
      <c r="C436" t="s">
        <v>2826</v>
      </c>
      <c r="D436" t="s">
        <v>803</v>
      </c>
    </row>
    <row r="437" spans="1:4" x14ac:dyDescent="0.2">
      <c r="A437">
        <v>22.5</v>
      </c>
      <c r="B437">
        <v>105</v>
      </c>
      <c r="C437" t="s">
        <v>2001</v>
      </c>
      <c r="D437" t="s">
        <v>803</v>
      </c>
    </row>
    <row r="438" spans="1:4" x14ac:dyDescent="0.2">
      <c r="A438">
        <v>22.5</v>
      </c>
      <c r="B438">
        <v>105.25</v>
      </c>
      <c r="C438" t="s">
        <v>2454</v>
      </c>
      <c r="D438" t="s">
        <v>803</v>
      </c>
    </row>
    <row r="439" spans="1:4" x14ac:dyDescent="0.2">
      <c r="A439">
        <v>22.5</v>
      </c>
      <c r="B439">
        <v>105.5</v>
      </c>
      <c r="C439" t="s">
        <v>2459</v>
      </c>
      <c r="D439" t="s">
        <v>803</v>
      </c>
    </row>
    <row r="440" spans="1:4" x14ac:dyDescent="0.2">
      <c r="A440">
        <v>22.5</v>
      </c>
      <c r="B440">
        <v>105.75</v>
      </c>
      <c r="C440" t="s">
        <v>2827</v>
      </c>
      <c r="D440" t="s">
        <v>139</v>
      </c>
    </row>
    <row r="441" spans="1:4" x14ac:dyDescent="0.2">
      <c r="A441">
        <v>22.5</v>
      </c>
      <c r="B441">
        <v>106</v>
      </c>
      <c r="C441" t="s">
        <v>2828</v>
      </c>
      <c r="D441" t="s">
        <v>139</v>
      </c>
    </row>
    <row r="442" spans="1:4" x14ac:dyDescent="0.2">
      <c r="A442">
        <v>22.5</v>
      </c>
      <c r="B442">
        <v>106.25</v>
      </c>
      <c r="C442" t="s">
        <v>498</v>
      </c>
      <c r="D442" t="s">
        <v>463</v>
      </c>
    </row>
    <row r="443" spans="1:4" x14ac:dyDescent="0.2">
      <c r="A443">
        <v>22.5</v>
      </c>
      <c r="B443">
        <v>106.5</v>
      </c>
      <c r="C443" t="s">
        <v>2829</v>
      </c>
      <c r="D443" t="s">
        <v>463</v>
      </c>
    </row>
    <row r="444" spans="1:4" x14ac:dyDescent="0.2">
      <c r="A444">
        <v>22.75</v>
      </c>
      <c r="B444">
        <v>102.5</v>
      </c>
      <c r="C444" t="s">
        <v>2830</v>
      </c>
      <c r="D444" t="s">
        <v>1414</v>
      </c>
    </row>
    <row r="445" spans="1:4" x14ac:dyDescent="0.2">
      <c r="A445">
        <v>22.75</v>
      </c>
      <c r="B445">
        <v>104.25</v>
      </c>
      <c r="C445" t="s">
        <v>2831</v>
      </c>
      <c r="D445" t="s">
        <v>1529</v>
      </c>
    </row>
    <row r="446" spans="1:4" x14ac:dyDescent="0.2">
      <c r="A446">
        <v>22.75</v>
      </c>
      <c r="B446">
        <v>104.5</v>
      </c>
      <c r="C446" t="s">
        <v>832</v>
      </c>
      <c r="D446" t="s">
        <v>803</v>
      </c>
    </row>
    <row r="447" spans="1:4" x14ac:dyDescent="0.2">
      <c r="A447">
        <v>22.75</v>
      </c>
      <c r="B447">
        <v>104.75</v>
      </c>
      <c r="C447" t="s">
        <v>2769</v>
      </c>
      <c r="D447" t="s">
        <v>803</v>
      </c>
    </row>
    <row r="448" spans="1:4" x14ac:dyDescent="0.2">
      <c r="A448">
        <v>22.75</v>
      </c>
      <c r="B448">
        <v>105</v>
      </c>
      <c r="C448" t="s">
        <v>829</v>
      </c>
      <c r="D448" t="s">
        <v>803</v>
      </c>
    </row>
    <row r="449" spans="1:4" x14ac:dyDescent="0.2">
      <c r="A449">
        <v>22.75</v>
      </c>
      <c r="B449">
        <v>105.25</v>
      </c>
      <c r="C449" t="s">
        <v>801</v>
      </c>
      <c r="D449" t="s">
        <v>803</v>
      </c>
    </row>
    <row r="450" spans="1:4" x14ac:dyDescent="0.2">
      <c r="A450">
        <v>22.75</v>
      </c>
      <c r="B450">
        <v>105.5</v>
      </c>
      <c r="C450" t="s">
        <v>2832</v>
      </c>
      <c r="D450" t="s">
        <v>463</v>
      </c>
    </row>
    <row r="451" spans="1:4" x14ac:dyDescent="0.2">
      <c r="A451">
        <v>22.75</v>
      </c>
      <c r="B451">
        <v>105.75</v>
      </c>
      <c r="C451" t="s">
        <v>2833</v>
      </c>
      <c r="D451" t="s">
        <v>463</v>
      </c>
    </row>
    <row r="452" spans="1:4" x14ac:dyDescent="0.2">
      <c r="A452">
        <v>22.75</v>
      </c>
      <c r="B452">
        <v>106</v>
      </c>
      <c r="C452" t="s">
        <v>500</v>
      </c>
      <c r="D452" t="s">
        <v>463</v>
      </c>
    </row>
    <row r="453" spans="1:4" x14ac:dyDescent="0.2">
      <c r="A453">
        <v>22.75</v>
      </c>
      <c r="B453">
        <v>106.25</v>
      </c>
      <c r="C453" t="s">
        <v>2834</v>
      </c>
      <c r="D453" t="s">
        <v>463</v>
      </c>
    </row>
    <row r="454" spans="1:4" x14ac:dyDescent="0.2">
      <c r="A454">
        <v>22.75</v>
      </c>
      <c r="B454">
        <v>106.5</v>
      </c>
      <c r="C454" t="s">
        <v>2835</v>
      </c>
      <c r="D454" t="s">
        <v>463</v>
      </c>
    </row>
    <row r="455" spans="1:4" x14ac:dyDescent="0.2">
      <c r="A455">
        <v>22.75</v>
      </c>
      <c r="B455">
        <v>106.75</v>
      </c>
      <c r="C455" t="s">
        <v>2836</v>
      </c>
      <c r="D455" t="s">
        <v>463</v>
      </c>
    </row>
    <row r="456" spans="1:4" x14ac:dyDescent="0.2">
      <c r="A456">
        <v>23</v>
      </c>
      <c r="B456">
        <v>105</v>
      </c>
      <c r="C456" t="s">
        <v>822</v>
      </c>
      <c r="D456" t="s">
        <v>803</v>
      </c>
    </row>
    <row r="457" spans="1:4" x14ac:dyDescent="0.2">
      <c r="A457">
        <v>23</v>
      </c>
      <c r="B457">
        <v>105.25</v>
      </c>
      <c r="C457" t="s">
        <v>2837</v>
      </c>
      <c r="D457" t="s">
        <v>803</v>
      </c>
    </row>
    <row r="458" spans="1:4" x14ac:dyDescent="0.2">
      <c r="A458">
        <v>23</v>
      </c>
      <c r="B458">
        <v>105.5</v>
      </c>
      <c r="C458" t="s">
        <v>2838</v>
      </c>
      <c r="D458" t="s">
        <v>463</v>
      </c>
    </row>
    <row r="459" spans="1:4" x14ac:dyDescent="0.2">
      <c r="A459">
        <v>23</v>
      </c>
      <c r="B459">
        <v>105.75</v>
      </c>
      <c r="C459" t="s">
        <v>2839</v>
      </c>
      <c r="D459" t="s">
        <v>463</v>
      </c>
    </row>
    <row r="460" spans="1:4" x14ac:dyDescent="0.2">
      <c r="A460">
        <v>23.25</v>
      </c>
      <c r="B460">
        <v>105.25</v>
      </c>
      <c r="C460" t="s">
        <v>811</v>
      </c>
      <c r="D460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640E-478A-4E3F-9D63-6D3AFD9F4BE1}">
  <dimension ref="A1:C211"/>
  <sheetViews>
    <sheetView tabSelected="1" topLeftCell="A181" workbookViewId="0">
      <selection activeCell="B211" sqref="B211"/>
    </sheetView>
  </sheetViews>
  <sheetFormatPr defaultRowHeight="12.75" x14ac:dyDescent="0.2"/>
  <cols>
    <col min="2" max="2" width="9.85546875" customWidth="1"/>
    <col min="3" max="3" width="12.28515625" customWidth="1"/>
  </cols>
  <sheetData>
    <row r="1" spans="1:3" x14ac:dyDescent="0.2">
      <c r="A1" t="s">
        <v>10</v>
      </c>
      <c r="B1" t="s">
        <v>11</v>
      </c>
      <c r="C1" t="s">
        <v>2565</v>
      </c>
    </row>
    <row r="2" spans="1:3" x14ac:dyDescent="0.2">
      <c r="A2">
        <v>8.5</v>
      </c>
      <c r="B2">
        <v>104.5</v>
      </c>
      <c r="C2" t="s">
        <v>169</v>
      </c>
    </row>
    <row r="3" spans="1:3" x14ac:dyDescent="0.2">
      <c r="A3">
        <v>8.5</v>
      </c>
      <c r="B3">
        <v>104.75</v>
      </c>
      <c r="C3" t="s">
        <v>169</v>
      </c>
    </row>
    <row r="4" spans="1:3" x14ac:dyDescent="0.2">
      <c r="A4">
        <v>8.5</v>
      </c>
      <c r="B4">
        <v>105</v>
      </c>
      <c r="C4" t="s">
        <v>169</v>
      </c>
    </row>
    <row r="5" spans="1:3" x14ac:dyDescent="0.2">
      <c r="A5">
        <v>8.5</v>
      </c>
      <c r="B5">
        <v>105.25</v>
      </c>
      <c r="C5" t="s">
        <v>169</v>
      </c>
    </row>
    <row r="6" spans="1:3" x14ac:dyDescent="0.2">
      <c r="A6">
        <v>8.5</v>
      </c>
      <c r="B6">
        <v>105.5</v>
      </c>
      <c r="C6" t="s">
        <v>169</v>
      </c>
    </row>
    <row r="7" spans="1:3" x14ac:dyDescent="0.2">
      <c r="A7">
        <v>8.5</v>
      </c>
      <c r="B7">
        <v>105.75</v>
      </c>
      <c r="C7" t="s">
        <v>169</v>
      </c>
    </row>
    <row r="8" spans="1:3" x14ac:dyDescent="0.2">
      <c r="A8">
        <v>8.5</v>
      </c>
      <c r="B8">
        <v>106</v>
      </c>
      <c r="C8" t="s">
        <v>169</v>
      </c>
    </row>
    <row r="9" spans="1:3" x14ac:dyDescent="0.2">
      <c r="A9">
        <v>8.5</v>
      </c>
      <c r="B9">
        <v>106.25</v>
      </c>
      <c r="C9" t="s">
        <v>73</v>
      </c>
    </row>
    <row r="10" spans="1:3" x14ac:dyDescent="0.2">
      <c r="A10">
        <v>8.5</v>
      </c>
      <c r="B10">
        <v>106.5</v>
      </c>
      <c r="C10" t="s">
        <v>73</v>
      </c>
    </row>
    <row r="11" spans="1:3" x14ac:dyDescent="0.2">
      <c r="A11">
        <v>8.5</v>
      </c>
      <c r="B11">
        <v>106.75</v>
      </c>
      <c r="C11" t="s">
        <v>73</v>
      </c>
    </row>
    <row r="12" spans="1:3" x14ac:dyDescent="0.2">
      <c r="A12">
        <v>8.75</v>
      </c>
      <c r="B12">
        <v>104</v>
      </c>
      <c r="C12" t="s">
        <v>169</v>
      </c>
    </row>
    <row r="13" spans="1:3" x14ac:dyDescent="0.2">
      <c r="A13">
        <v>8.75</v>
      </c>
      <c r="B13">
        <v>104.25</v>
      </c>
      <c r="C13" t="s">
        <v>169</v>
      </c>
    </row>
    <row r="14" spans="1:3" x14ac:dyDescent="0.2">
      <c r="A14">
        <v>8.75</v>
      </c>
      <c r="B14">
        <v>104.5</v>
      </c>
      <c r="C14" t="s">
        <v>169</v>
      </c>
    </row>
    <row r="15" spans="1:3" x14ac:dyDescent="0.2">
      <c r="A15">
        <v>8.75</v>
      </c>
      <c r="B15">
        <v>104.75</v>
      </c>
      <c r="C15" t="s">
        <v>169</v>
      </c>
    </row>
    <row r="16" spans="1:3" x14ac:dyDescent="0.2">
      <c r="A16">
        <v>8.75</v>
      </c>
      <c r="B16">
        <v>105.25</v>
      </c>
      <c r="C16" t="s">
        <v>169</v>
      </c>
    </row>
    <row r="17" spans="1:3" x14ac:dyDescent="0.2">
      <c r="A17">
        <v>8.75</v>
      </c>
      <c r="B17">
        <v>105.5</v>
      </c>
      <c r="C17" t="s">
        <v>169</v>
      </c>
    </row>
    <row r="18" spans="1:3" x14ac:dyDescent="0.2">
      <c r="A18">
        <v>8.75</v>
      </c>
      <c r="B18">
        <v>105.75</v>
      </c>
      <c r="C18" t="s">
        <v>169</v>
      </c>
    </row>
    <row r="19" spans="1:3" x14ac:dyDescent="0.2">
      <c r="A19">
        <v>8.75</v>
      </c>
      <c r="B19">
        <v>106</v>
      </c>
      <c r="C19" t="s">
        <v>431</v>
      </c>
    </row>
    <row r="20" spans="1:3" x14ac:dyDescent="0.2">
      <c r="A20">
        <v>8.75</v>
      </c>
      <c r="B20">
        <v>106.25</v>
      </c>
      <c r="C20" t="s">
        <v>73</v>
      </c>
    </row>
    <row r="21" spans="1:3" x14ac:dyDescent="0.2">
      <c r="A21">
        <v>8.75</v>
      </c>
      <c r="B21">
        <v>106.5</v>
      </c>
      <c r="C21" t="s">
        <v>73</v>
      </c>
    </row>
    <row r="22" spans="1:3" x14ac:dyDescent="0.2">
      <c r="A22">
        <v>8.75</v>
      </c>
      <c r="B22">
        <v>106.75</v>
      </c>
      <c r="C22" t="s">
        <v>73</v>
      </c>
    </row>
    <row r="23" spans="1:3" x14ac:dyDescent="0.2">
      <c r="A23">
        <v>8.75</v>
      </c>
      <c r="B23">
        <v>107</v>
      </c>
      <c r="C23" t="s">
        <v>73</v>
      </c>
    </row>
    <row r="24" spans="1:3" x14ac:dyDescent="0.2">
      <c r="A24">
        <v>8.75</v>
      </c>
      <c r="B24">
        <v>107.25</v>
      </c>
      <c r="C24" t="s">
        <v>73</v>
      </c>
    </row>
    <row r="25" spans="1:3" x14ac:dyDescent="0.2">
      <c r="A25">
        <v>9</v>
      </c>
      <c r="B25">
        <v>103.5</v>
      </c>
      <c r="C25" t="s">
        <v>169</v>
      </c>
    </row>
    <row r="26" spans="1:3" x14ac:dyDescent="0.2">
      <c r="A26">
        <v>9</v>
      </c>
      <c r="B26">
        <v>103.75</v>
      </c>
      <c r="C26" t="s">
        <v>169</v>
      </c>
    </row>
    <row r="27" spans="1:3" x14ac:dyDescent="0.2">
      <c r="A27">
        <v>9</v>
      </c>
      <c r="B27">
        <v>104</v>
      </c>
      <c r="C27" t="s">
        <v>169</v>
      </c>
    </row>
    <row r="28" spans="1:3" x14ac:dyDescent="0.2">
      <c r="A28">
        <v>9</v>
      </c>
      <c r="B28">
        <v>104.25</v>
      </c>
      <c r="C28" t="s">
        <v>169</v>
      </c>
    </row>
    <row r="29" spans="1:3" x14ac:dyDescent="0.2">
      <c r="A29">
        <v>9</v>
      </c>
      <c r="B29">
        <v>104.5</v>
      </c>
      <c r="C29" t="s">
        <v>169</v>
      </c>
    </row>
    <row r="30" spans="1:3" x14ac:dyDescent="0.2">
      <c r="A30">
        <v>9</v>
      </c>
      <c r="B30">
        <v>104.75</v>
      </c>
      <c r="C30" t="s">
        <v>169</v>
      </c>
    </row>
    <row r="31" spans="1:3" x14ac:dyDescent="0.2">
      <c r="A31">
        <v>9</v>
      </c>
      <c r="B31">
        <v>105.5</v>
      </c>
      <c r="C31" t="s">
        <v>169</v>
      </c>
    </row>
    <row r="32" spans="1:3" x14ac:dyDescent="0.2">
      <c r="A32">
        <v>9</v>
      </c>
      <c r="B32">
        <v>105.75</v>
      </c>
      <c r="C32" t="s">
        <v>169</v>
      </c>
    </row>
    <row r="33" spans="1:3" x14ac:dyDescent="0.2">
      <c r="A33">
        <v>9</v>
      </c>
      <c r="B33">
        <v>106</v>
      </c>
      <c r="C33" t="s">
        <v>431</v>
      </c>
    </row>
    <row r="34" spans="1:3" x14ac:dyDescent="0.2">
      <c r="A34">
        <v>9</v>
      </c>
      <c r="B34">
        <v>106.25</v>
      </c>
      <c r="C34" t="s">
        <v>431</v>
      </c>
    </row>
    <row r="35" spans="1:3" x14ac:dyDescent="0.2">
      <c r="A35">
        <v>9</v>
      </c>
      <c r="B35">
        <v>106.5</v>
      </c>
      <c r="C35" t="s">
        <v>73</v>
      </c>
    </row>
    <row r="36" spans="1:3" x14ac:dyDescent="0.2">
      <c r="A36">
        <v>9</v>
      </c>
      <c r="B36">
        <v>106.75</v>
      </c>
      <c r="C36" t="s">
        <v>73</v>
      </c>
    </row>
    <row r="37" spans="1:3" x14ac:dyDescent="0.2">
      <c r="A37">
        <v>9</v>
      </c>
      <c r="B37">
        <v>107</v>
      </c>
      <c r="C37" t="s">
        <v>73</v>
      </c>
    </row>
    <row r="38" spans="1:3" x14ac:dyDescent="0.2">
      <c r="A38">
        <v>9</v>
      </c>
      <c r="B38">
        <v>107.25</v>
      </c>
      <c r="C38" t="s">
        <v>73</v>
      </c>
    </row>
    <row r="39" spans="1:3" x14ac:dyDescent="0.2">
      <c r="A39">
        <v>9</v>
      </c>
      <c r="B39">
        <v>107.5</v>
      </c>
      <c r="C39" t="s">
        <v>73</v>
      </c>
    </row>
    <row r="40" spans="1:3" x14ac:dyDescent="0.2">
      <c r="A40">
        <v>9.25</v>
      </c>
      <c r="B40">
        <v>103.25</v>
      </c>
      <c r="C40" t="s">
        <v>18</v>
      </c>
    </row>
    <row r="41" spans="1:3" x14ac:dyDescent="0.2">
      <c r="A41">
        <v>9.25</v>
      </c>
      <c r="B41">
        <v>103.5</v>
      </c>
      <c r="C41" t="s">
        <v>18</v>
      </c>
    </row>
    <row r="42" spans="1:3" x14ac:dyDescent="0.2">
      <c r="A42">
        <v>9.25</v>
      </c>
      <c r="B42">
        <v>103.75</v>
      </c>
      <c r="C42" t="s">
        <v>18</v>
      </c>
    </row>
    <row r="43" spans="1:3" x14ac:dyDescent="0.2">
      <c r="A43">
        <v>9.25</v>
      </c>
      <c r="B43">
        <v>104</v>
      </c>
      <c r="C43" t="s">
        <v>18</v>
      </c>
    </row>
    <row r="44" spans="1:3" x14ac:dyDescent="0.2">
      <c r="A44">
        <v>9.25</v>
      </c>
      <c r="B44">
        <v>104.25</v>
      </c>
      <c r="C44" t="s">
        <v>169</v>
      </c>
    </row>
    <row r="45" spans="1:3" x14ac:dyDescent="0.2">
      <c r="A45">
        <v>9.25</v>
      </c>
      <c r="B45">
        <v>104.5</v>
      </c>
      <c r="C45" t="s">
        <v>169</v>
      </c>
    </row>
    <row r="46" spans="1:3" x14ac:dyDescent="0.2">
      <c r="A46">
        <v>9.25</v>
      </c>
      <c r="B46">
        <v>104.75</v>
      </c>
      <c r="C46" t="s">
        <v>169</v>
      </c>
    </row>
    <row r="47" spans="1:3" x14ac:dyDescent="0.2">
      <c r="A47">
        <v>9.25</v>
      </c>
      <c r="B47">
        <v>106</v>
      </c>
      <c r="C47" t="s">
        <v>431</v>
      </c>
    </row>
    <row r="48" spans="1:3" x14ac:dyDescent="0.2">
      <c r="A48">
        <v>9.25</v>
      </c>
      <c r="B48">
        <v>106.25</v>
      </c>
      <c r="C48" t="s">
        <v>431</v>
      </c>
    </row>
    <row r="49" spans="1:3" x14ac:dyDescent="0.2">
      <c r="A49">
        <v>9.25</v>
      </c>
      <c r="B49">
        <v>106.5</v>
      </c>
      <c r="C49" t="s">
        <v>221</v>
      </c>
    </row>
    <row r="50" spans="1:3" x14ac:dyDescent="0.2">
      <c r="A50">
        <v>9.25</v>
      </c>
      <c r="B50">
        <v>106.75</v>
      </c>
      <c r="C50" t="s">
        <v>73</v>
      </c>
    </row>
    <row r="51" spans="1:3" x14ac:dyDescent="0.2">
      <c r="A51">
        <v>9.25</v>
      </c>
      <c r="B51">
        <v>107</v>
      </c>
      <c r="C51" t="s">
        <v>73</v>
      </c>
    </row>
    <row r="52" spans="1:3" x14ac:dyDescent="0.2">
      <c r="A52">
        <v>9.25</v>
      </c>
      <c r="B52">
        <v>107.25</v>
      </c>
      <c r="C52" t="s">
        <v>73</v>
      </c>
    </row>
    <row r="53" spans="1:3" x14ac:dyDescent="0.2">
      <c r="A53">
        <v>9.25</v>
      </c>
      <c r="B53">
        <v>107.5</v>
      </c>
      <c r="C53" t="s">
        <v>73</v>
      </c>
    </row>
    <row r="54" spans="1:3" x14ac:dyDescent="0.2">
      <c r="A54">
        <v>9.25</v>
      </c>
      <c r="B54">
        <v>107.75</v>
      </c>
      <c r="C54" t="s">
        <v>73</v>
      </c>
    </row>
    <row r="55" spans="1:3" x14ac:dyDescent="0.2">
      <c r="A55">
        <v>9.25</v>
      </c>
      <c r="B55">
        <v>108</v>
      </c>
      <c r="C55" t="s">
        <v>73</v>
      </c>
    </row>
    <row r="56" spans="1:3" x14ac:dyDescent="0.2">
      <c r="A56">
        <v>9.5</v>
      </c>
      <c r="B56">
        <v>103.25</v>
      </c>
      <c r="C56" t="s">
        <v>18</v>
      </c>
    </row>
    <row r="57" spans="1:3" x14ac:dyDescent="0.2">
      <c r="A57">
        <v>9.5</v>
      </c>
      <c r="B57">
        <v>103.5</v>
      </c>
      <c r="C57" t="s">
        <v>18</v>
      </c>
    </row>
    <row r="58" spans="1:3" x14ac:dyDescent="0.2">
      <c r="A58">
        <v>9.5</v>
      </c>
      <c r="B58">
        <v>103.75</v>
      </c>
      <c r="C58" t="s">
        <v>18</v>
      </c>
    </row>
    <row r="59" spans="1:3" x14ac:dyDescent="0.2">
      <c r="A59">
        <v>9.5</v>
      </c>
      <c r="B59">
        <v>104</v>
      </c>
      <c r="C59" t="s">
        <v>18</v>
      </c>
    </row>
    <row r="60" spans="1:3" x14ac:dyDescent="0.2">
      <c r="A60">
        <v>9.5</v>
      </c>
      <c r="B60">
        <v>104.25</v>
      </c>
      <c r="C60" t="s">
        <v>18</v>
      </c>
    </row>
    <row r="61" spans="1:3" x14ac:dyDescent="0.2">
      <c r="A61">
        <v>9.5</v>
      </c>
      <c r="B61">
        <v>104.5</v>
      </c>
      <c r="C61" t="s">
        <v>18</v>
      </c>
    </row>
    <row r="62" spans="1:3" x14ac:dyDescent="0.2">
      <c r="A62">
        <v>9.5</v>
      </c>
      <c r="B62">
        <v>104.75</v>
      </c>
      <c r="C62" t="s">
        <v>169</v>
      </c>
    </row>
    <row r="63" spans="1:3" x14ac:dyDescent="0.2">
      <c r="A63">
        <v>9.5</v>
      </c>
      <c r="B63">
        <v>106.5</v>
      </c>
      <c r="C63" t="s">
        <v>221</v>
      </c>
    </row>
    <row r="64" spans="1:3" x14ac:dyDescent="0.2">
      <c r="A64">
        <v>9.5</v>
      </c>
      <c r="B64">
        <v>106.75</v>
      </c>
      <c r="C64" t="s">
        <v>221</v>
      </c>
    </row>
    <row r="65" spans="1:3" x14ac:dyDescent="0.2">
      <c r="A65">
        <v>9.5</v>
      </c>
      <c r="B65">
        <v>107</v>
      </c>
      <c r="C65" t="s">
        <v>73</v>
      </c>
    </row>
    <row r="66" spans="1:3" x14ac:dyDescent="0.2">
      <c r="A66">
        <v>9.5</v>
      </c>
      <c r="B66">
        <v>107.25</v>
      </c>
      <c r="C66" t="s">
        <v>73</v>
      </c>
    </row>
    <row r="67" spans="1:3" x14ac:dyDescent="0.2">
      <c r="A67">
        <v>9.5</v>
      </c>
      <c r="B67">
        <v>107.5</v>
      </c>
      <c r="C67" t="s">
        <v>73</v>
      </c>
    </row>
    <row r="68" spans="1:3" x14ac:dyDescent="0.2">
      <c r="A68">
        <v>9.5</v>
      </c>
      <c r="B68">
        <v>107.75</v>
      </c>
      <c r="C68" t="s">
        <v>73</v>
      </c>
    </row>
    <row r="69" spans="1:3" x14ac:dyDescent="0.2">
      <c r="A69">
        <v>9.5</v>
      </c>
      <c r="B69">
        <v>108</v>
      </c>
      <c r="C69" t="s">
        <v>73</v>
      </c>
    </row>
    <row r="70" spans="1:3" x14ac:dyDescent="0.2">
      <c r="A70">
        <v>9.5</v>
      </c>
      <c r="B70">
        <v>108.25</v>
      </c>
      <c r="C70" t="s">
        <v>73</v>
      </c>
    </row>
    <row r="71" spans="1:3" x14ac:dyDescent="0.2">
      <c r="A71">
        <v>9.5</v>
      </c>
      <c r="B71">
        <v>108.5</v>
      </c>
      <c r="C71" t="s">
        <v>369</v>
      </c>
    </row>
    <row r="72" spans="1:3" x14ac:dyDescent="0.2">
      <c r="A72">
        <v>9.75</v>
      </c>
      <c r="B72">
        <v>103.75</v>
      </c>
      <c r="C72" t="s">
        <v>18</v>
      </c>
    </row>
    <row r="73" spans="1:3" x14ac:dyDescent="0.2">
      <c r="A73">
        <v>9.75</v>
      </c>
      <c r="B73">
        <v>104</v>
      </c>
      <c r="C73" t="s">
        <v>18</v>
      </c>
    </row>
    <row r="74" spans="1:3" x14ac:dyDescent="0.2">
      <c r="A74">
        <v>9.75</v>
      </c>
      <c r="B74">
        <v>104.25</v>
      </c>
      <c r="C74" t="s">
        <v>18</v>
      </c>
    </row>
    <row r="75" spans="1:3" x14ac:dyDescent="0.2">
      <c r="A75">
        <v>9.75</v>
      </c>
      <c r="B75">
        <v>104.5</v>
      </c>
      <c r="C75" t="s">
        <v>18</v>
      </c>
    </row>
    <row r="76" spans="1:3" x14ac:dyDescent="0.2">
      <c r="A76">
        <v>9.75</v>
      </c>
      <c r="B76">
        <v>106.75</v>
      </c>
      <c r="C76" t="s">
        <v>221</v>
      </c>
    </row>
    <row r="77" spans="1:3" x14ac:dyDescent="0.2">
      <c r="A77">
        <v>9.75</v>
      </c>
      <c r="B77">
        <v>107</v>
      </c>
      <c r="C77" t="s">
        <v>73</v>
      </c>
    </row>
    <row r="78" spans="1:3" x14ac:dyDescent="0.2">
      <c r="A78">
        <v>9.75</v>
      </c>
      <c r="B78">
        <v>107.25</v>
      </c>
      <c r="C78" t="s">
        <v>73</v>
      </c>
    </row>
    <row r="79" spans="1:3" x14ac:dyDescent="0.2">
      <c r="A79">
        <v>9.75</v>
      </c>
      <c r="B79">
        <v>107.5</v>
      </c>
      <c r="C79" t="s">
        <v>73</v>
      </c>
    </row>
    <row r="80" spans="1:3" x14ac:dyDescent="0.2">
      <c r="A80">
        <v>9.75</v>
      </c>
      <c r="B80">
        <v>107.75</v>
      </c>
      <c r="C80" t="s">
        <v>73</v>
      </c>
    </row>
    <row r="81" spans="1:3" x14ac:dyDescent="0.2">
      <c r="A81">
        <v>9.75</v>
      </c>
      <c r="B81">
        <v>108</v>
      </c>
      <c r="C81" t="s">
        <v>73</v>
      </c>
    </row>
    <row r="82" spans="1:3" x14ac:dyDescent="0.2">
      <c r="A82">
        <v>9.75</v>
      </c>
      <c r="B82">
        <v>108.25</v>
      </c>
      <c r="C82" t="s">
        <v>369</v>
      </c>
    </row>
    <row r="83" spans="1:3" x14ac:dyDescent="0.2">
      <c r="A83">
        <v>9.75</v>
      </c>
      <c r="B83">
        <v>108.5</v>
      </c>
      <c r="C83" t="s">
        <v>369</v>
      </c>
    </row>
    <row r="84" spans="1:3" x14ac:dyDescent="0.2">
      <c r="A84">
        <v>9.75</v>
      </c>
      <c r="B84">
        <v>108.75</v>
      </c>
      <c r="C84" t="s">
        <v>369</v>
      </c>
    </row>
    <row r="85" spans="1:3" x14ac:dyDescent="0.2">
      <c r="A85">
        <v>9.75</v>
      </c>
      <c r="B85">
        <v>109</v>
      </c>
      <c r="C85" t="s">
        <v>369</v>
      </c>
    </row>
    <row r="86" spans="1:3" x14ac:dyDescent="0.2">
      <c r="A86">
        <v>10</v>
      </c>
      <c r="B86">
        <v>104</v>
      </c>
      <c r="C86" t="s">
        <v>18</v>
      </c>
    </row>
    <row r="87" spans="1:3" x14ac:dyDescent="0.2">
      <c r="A87">
        <v>10</v>
      </c>
      <c r="B87">
        <v>104.25</v>
      </c>
      <c r="C87" t="s">
        <v>18</v>
      </c>
    </row>
    <row r="88" spans="1:3" x14ac:dyDescent="0.2">
      <c r="A88">
        <v>10</v>
      </c>
      <c r="B88">
        <v>104.5</v>
      </c>
      <c r="C88" t="s">
        <v>18</v>
      </c>
    </row>
    <row r="89" spans="1:3" x14ac:dyDescent="0.2">
      <c r="A89">
        <v>10</v>
      </c>
      <c r="B89">
        <v>104.75</v>
      </c>
      <c r="C89" t="s">
        <v>18</v>
      </c>
    </row>
    <row r="90" spans="1:3" x14ac:dyDescent="0.2">
      <c r="A90">
        <v>10</v>
      </c>
      <c r="B90">
        <v>105</v>
      </c>
      <c r="C90" t="s">
        <v>431</v>
      </c>
    </row>
    <row r="91" spans="1:3" x14ac:dyDescent="0.2">
      <c r="A91">
        <v>10</v>
      </c>
      <c r="B91">
        <v>106.75</v>
      </c>
      <c r="C91" t="s">
        <v>221</v>
      </c>
    </row>
    <row r="92" spans="1:3" x14ac:dyDescent="0.2">
      <c r="A92">
        <v>10</v>
      </c>
      <c r="B92">
        <v>107</v>
      </c>
      <c r="C92" t="s">
        <v>73</v>
      </c>
    </row>
    <row r="93" spans="1:3" x14ac:dyDescent="0.2">
      <c r="A93">
        <v>10</v>
      </c>
      <c r="B93">
        <v>107.25</v>
      </c>
      <c r="C93" t="s">
        <v>73</v>
      </c>
    </row>
    <row r="94" spans="1:3" x14ac:dyDescent="0.2">
      <c r="A94">
        <v>10</v>
      </c>
      <c r="B94">
        <v>107.5</v>
      </c>
      <c r="C94" t="s">
        <v>73</v>
      </c>
    </row>
    <row r="95" spans="1:3" x14ac:dyDescent="0.2">
      <c r="A95">
        <v>10</v>
      </c>
      <c r="B95">
        <v>107.75</v>
      </c>
      <c r="C95" t="s">
        <v>73</v>
      </c>
    </row>
    <row r="96" spans="1:3" x14ac:dyDescent="0.2">
      <c r="A96">
        <v>10</v>
      </c>
      <c r="B96">
        <v>108</v>
      </c>
      <c r="C96" t="s">
        <v>369</v>
      </c>
    </row>
    <row r="97" spans="1:3" x14ac:dyDescent="0.2">
      <c r="A97">
        <v>10</v>
      </c>
      <c r="B97">
        <v>108.25</v>
      </c>
      <c r="C97" t="s">
        <v>369</v>
      </c>
    </row>
    <row r="98" spans="1:3" x14ac:dyDescent="0.2">
      <c r="A98">
        <v>10</v>
      </c>
      <c r="B98">
        <v>108.5</v>
      </c>
      <c r="C98" t="s">
        <v>369</v>
      </c>
    </row>
    <row r="99" spans="1:3" x14ac:dyDescent="0.2">
      <c r="A99">
        <v>10</v>
      </c>
      <c r="B99">
        <v>108.75</v>
      </c>
      <c r="C99" t="s">
        <v>369</v>
      </c>
    </row>
    <row r="100" spans="1:3" x14ac:dyDescent="0.2">
      <c r="A100">
        <v>10</v>
      </c>
      <c r="B100">
        <v>109</v>
      </c>
      <c r="C100" t="s">
        <v>369</v>
      </c>
    </row>
    <row r="101" spans="1:3" x14ac:dyDescent="0.2">
      <c r="A101">
        <v>10</v>
      </c>
      <c r="B101">
        <v>109.25</v>
      </c>
      <c r="C101" t="s">
        <v>369</v>
      </c>
    </row>
    <row r="102" spans="1:3" x14ac:dyDescent="0.2">
      <c r="A102">
        <v>10.25</v>
      </c>
      <c r="B102">
        <v>104.25</v>
      </c>
      <c r="C102" t="s">
        <v>18</v>
      </c>
    </row>
    <row r="103" spans="1:3" x14ac:dyDescent="0.2">
      <c r="A103">
        <v>10.25</v>
      </c>
      <c r="B103">
        <v>104.5</v>
      </c>
      <c r="C103" t="s">
        <v>18</v>
      </c>
    </row>
    <row r="104" spans="1:3" x14ac:dyDescent="0.2">
      <c r="A104">
        <v>10.25</v>
      </c>
      <c r="B104">
        <v>107</v>
      </c>
      <c r="C104" t="s">
        <v>73</v>
      </c>
    </row>
    <row r="105" spans="1:3" x14ac:dyDescent="0.2">
      <c r="A105">
        <v>10.25</v>
      </c>
      <c r="B105">
        <v>107.25</v>
      </c>
      <c r="C105" t="s">
        <v>73</v>
      </c>
    </row>
    <row r="106" spans="1:3" x14ac:dyDescent="0.2">
      <c r="A106">
        <v>10.25</v>
      </c>
      <c r="B106">
        <v>107.5</v>
      </c>
      <c r="C106" t="s">
        <v>73</v>
      </c>
    </row>
    <row r="107" spans="1:3" x14ac:dyDescent="0.2">
      <c r="A107">
        <v>10.25</v>
      </c>
      <c r="B107">
        <v>107.75</v>
      </c>
      <c r="C107" t="s">
        <v>73</v>
      </c>
    </row>
    <row r="108" spans="1:3" x14ac:dyDescent="0.2">
      <c r="A108">
        <v>10.25</v>
      </c>
      <c r="B108">
        <v>108</v>
      </c>
      <c r="C108" t="s">
        <v>369</v>
      </c>
    </row>
    <row r="109" spans="1:3" x14ac:dyDescent="0.2">
      <c r="A109">
        <v>10.25</v>
      </c>
      <c r="B109">
        <v>108.25</v>
      </c>
      <c r="C109" t="s">
        <v>369</v>
      </c>
    </row>
    <row r="110" spans="1:3" x14ac:dyDescent="0.2">
      <c r="A110">
        <v>10.25</v>
      </c>
      <c r="B110">
        <v>108.5</v>
      </c>
      <c r="C110" t="s">
        <v>369</v>
      </c>
    </row>
    <row r="111" spans="1:3" x14ac:dyDescent="0.2">
      <c r="A111">
        <v>10.25</v>
      </c>
      <c r="B111">
        <v>108.75</v>
      </c>
      <c r="C111" t="s">
        <v>369</v>
      </c>
    </row>
    <row r="112" spans="1:3" x14ac:dyDescent="0.2">
      <c r="A112">
        <v>10.25</v>
      </c>
      <c r="B112">
        <v>109</v>
      </c>
      <c r="C112" t="s">
        <v>369</v>
      </c>
    </row>
    <row r="113" spans="1:3" x14ac:dyDescent="0.2">
      <c r="A113">
        <v>10.25</v>
      </c>
      <c r="B113">
        <v>109.25</v>
      </c>
      <c r="C113" t="s">
        <v>369</v>
      </c>
    </row>
    <row r="114" spans="1:3" x14ac:dyDescent="0.2">
      <c r="A114">
        <v>10.5</v>
      </c>
      <c r="B114">
        <v>107.75</v>
      </c>
      <c r="C114" t="s">
        <v>369</v>
      </c>
    </row>
    <row r="115" spans="1:3" x14ac:dyDescent="0.2">
      <c r="A115">
        <v>10.5</v>
      </c>
      <c r="B115">
        <v>108</v>
      </c>
      <c r="C115" t="s">
        <v>369</v>
      </c>
    </row>
    <row r="116" spans="1:3" x14ac:dyDescent="0.2">
      <c r="A116">
        <v>10.5</v>
      </c>
      <c r="B116">
        <v>108.25</v>
      </c>
      <c r="C116" t="s">
        <v>369</v>
      </c>
    </row>
    <row r="117" spans="1:3" x14ac:dyDescent="0.2">
      <c r="A117">
        <v>10.5</v>
      </c>
      <c r="B117">
        <v>108.5</v>
      </c>
      <c r="C117" t="s">
        <v>369</v>
      </c>
    </row>
    <row r="118" spans="1:3" x14ac:dyDescent="0.2">
      <c r="A118">
        <v>10.5</v>
      </c>
      <c r="B118">
        <v>108.75</v>
      </c>
      <c r="C118" t="s">
        <v>369</v>
      </c>
    </row>
    <row r="119" spans="1:3" x14ac:dyDescent="0.2">
      <c r="A119">
        <v>10.5</v>
      </c>
      <c r="B119">
        <v>109</v>
      </c>
      <c r="C119" t="s">
        <v>369</v>
      </c>
    </row>
    <row r="120" spans="1:3" x14ac:dyDescent="0.2">
      <c r="A120">
        <v>10.5</v>
      </c>
      <c r="B120">
        <v>109.25</v>
      </c>
      <c r="C120" t="s">
        <v>369</v>
      </c>
    </row>
    <row r="121" spans="1:3" x14ac:dyDescent="0.2">
      <c r="A121">
        <v>10.75</v>
      </c>
      <c r="B121">
        <v>108.25</v>
      </c>
      <c r="C121" t="s">
        <v>369</v>
      </c>
    </row>
    <row r="122" spans="1:3" x14ac:dyDescent="0.2">
      <c r="A122">
        <v>10.75</v>
      </c>
      <c r="B122">
        <v>108.5</v>
      </c>
      <c r="C122" t="s">
        <v>369</v>
      </c>
    </row>
    <row r="123" spans="1:3" x14ac:dyDescent="0.2">
      <c r="A123">
        <v>10.75</v>
      </c>
      <c r="B123">
        <v>108.75</v>
      </c>
      <c r="C123" t="s">
        <v>369</v>
      </c>
    </row>
    <row r="124" spans="1:3" x14ac:dyDescent="0.2">
      <c r="A124">
        <v>10.75</v>
      </c>
      <c r="B124">
        <v>109</v>
      </c>
      <c r="C124" t="s">
        <v>369</v>
      </c>
    </row>
    <row r="125" spans="1:3" x14ac:dyDescent="0.2">
      <c r="A125">
        <v>10.75</v>
      </c>
      <c r="B125">
        <v>109.25</v>
      </c>
      <c r="C125" t="s">
        <v>369</v>
      </c>
    </row>
    <row r="126" spans="1:3" x14ac:dyDescent="0.2">
      <c r="A126">
        <v>11</v>
      </c>
      <c r="B126">
        <v>108.5</v>
      </c>
      <c r="C126" t="s">
        <v>369</v>
      </c>
    </row>
    <row r="127" spans="1:3" x14ac:dyDescent="0.2">
      <c r="A127">
        <v>11</v>
      </c>
      <c r="B127">
        <v>108.75</v>
      </c>
      <c r="C127" t="s">
        <v>369</v>
      </c>
    </row>
    <row r="128" spans="1:3" x14ac:dyDescent="0.2">
      <c r="A128">
        <v>11</v>
      </c>
      <c r="B128">
        <v>109</v>
      </c>
      <c r="C128" t="s">
        <v>369</v>
      </c>
    </row>
    <row r="129" spans="1:3" x14ac:dyDescent="0.2">
      <c r="A129">
        <v>11</v>
      </c>
      <c r="B129">
        <v>109.25</v>
      </c>
      <c r="C129" t="s">
        <v>1297</v>
      </c>
    </row>
    <row r="130" spans="1:3" x14ac:dyDescent="0.2">
      <c r="A130">
        <v>11.25</v>
      </c>
      <c r="B130">
        <v>109</v>
      </c>
      <c r="C130" t="s">
        <v>1297</v>
      </c>
    </row>
    <row r="131" spans="1:3" x14ac:dyDescent="0.2">
      <c r="A131">
        <v>11.25</v>
      </c>
      <c r="B131">
        <v>109.25</v>
      </c>
      <c r="C131" t="s">
        <v>1297</v>
      </c>
    </row>
    <row r="132" spans="1:3" x14ac:dyDescent="0.2">
      <c r="A132">
        <v>11.5</v>
      </c>
      <c r="B132">
        <v>109.25</v>
      </c>
      <c r="C132" t="s">
        <v>1297</v>
      </c>
    </row>
    <row r="133" spans="1:3" x14ac:dyDescent="0.2">
      <c r="A133">
        <v>11.5</v>
      </c>
      <c r="B133">
        <v>109.5</v>
      </c>
      <c r="C133" t="s">
        <v>1297</v>
      </c>
    </row>
    <row r="134" spans="1:3" x14ac:dyDescent="0.2">
      <c r="A134">
        <v>11.75</v>
      </c>
      <c r="B134">
        <v>109.25</v>
      </c>
      <c r="C134" t="s">
        <v>1297</v>
      </c>
    </row>
    <row r="135" spans="1:3" x14ac:dyDescent="0.2">
      <c r="A135">
        <v>11.75</v>
      </c>
      <c r="B135">
        <v>109.5</v>
      </c>
      <c r="C135" t="s">
        <v>1297</v>
      </c>
    </row>
    <row r="136" spans="1:3" x14ac:dyDescent="0.2">
      <c r="A136">
        <v>12</v>
      </c>
      <c r="B136">
        <v>109.25</v>
      </c>
      <c r="C136" t="s">
        <v>1297</v>
      </c>
    </row>
    <row r="137" spans="1:3" x14ac:dyDescent="0.2">
      <c r="A137">
        <v>12</v>
      </c>
      <c r="B137">
        <v>109.5</v>
      </c>
      <c r="C137" t="s">
        <v>1297</v>
      </c>
    </row>
    <row r="138" spans="1:3" x14ac:dyDescent="0.2">
      <c r="A138">
        <v>12.25</v>
      </c>
      <c r="B138">
        <v>109.25</v>
      </c>
      <c r="C138" t="s">
        <v>1297</v>
      </c>
    </row>
    <row r="139" spans="1:3" x14ac:dyDescent="0.2">
      <c r="A139">
        <v>12.25</v>
      </c>
      <c r="B139">
        <v>109.5</v>
      </c>
      <c r="C139" t="s">
        <v>1297</v>
      </c>
    </row>
    <row r="140" spans="1:3" x14ac:dyDescent="0.2">
      <c r="A140">
        <v>12.5</v>
      </c>
      <c r="B140">
        <v>109.5</v>
      </c>
      <c r="C140" t="s">
        <v>1297</v>
      </c>
    </row>
    <row r="141" spans="1:3" x14ac:dyDescent="0.2">
      <c r="A141">
        <v>12.75</v>
      </c>
      <c r="B141">
        <v>109.5</v>
      </c>
      <c r="C141" t="s">
        <v>1297</v>
      </c>
    </row>
    <row r="142" spans="1:3" x14ac:dyDescent="0.2">
      <c r="A142">
        <v>13</v>
      </c>
      <c r="B142">
        <v>109.5</v>
      </c>
      <c r="C142" t="s">
        <v>536</v>
      </c>
    </row>
    <row r="143" spans="1:3" x14ac:dyDescent="0.2">
      <c r="A143">
        <v>13.25</v>
      </c>
      <c r="B143">
        <v>109.5</v>
      </c>
      <c r="C143" t="s">
        <v>536</v>
      </c>
    </row>
    <row r="144" spans="1:3" x14ac:dyDescent="0.2">
      <c r="A144">
        <v>13.5</v>
      </c>
      <c r="B144">
        <v>109.5</v>
      </c>
      <c r="C144" t="s">
        <v>536</v>
      </c>
    </row>
    <row r="145" spans="1:3" x14ac:dyDescent="0.2">
      <c r="A145">
        <v>13.75</v>
      </c>
      <c r="B145">
        <v>109.5</v>
      </c>
      <c r="C145" t="s">
        <v>255</v>
      </c>
    </row>
    <row r="146" spans="1:3" x14ac:dyDescent="0.2">
      <c r="A146">
        <v>14</v>
      </c>
      <c r="B146">
        <v>109.5</v>
      </c>
      <c r="C146" t="s">
        <v>255</v>
      </c>
    </row>
    <row r="147" spans="1:3" x14ac:dyDescent="0.2">
      <c r="A147">
        <v>14.25</v>
      </c>
      <c r="B147">
        <v>109.25</v>
      </c>
      <c r="C147" t="s">
        <v>255</v>
      </c>
    </row>
    <row r="148" spans="1:3" x14ac:dyDescent="0.2">
      <c r="A148">
        <v>14.25</v>
      </c>
      <c r="B148">
        <v>109.5</v>
      </c>
      <c r="C148" t="s">
        <v>255</v>
      </c>
    </row>
    <row r="149" spans="1:3" x14ac:dyDescent="0.2">
      <c r="A149">
        <v>14.5</v>
      </c>
      <c r="B149">
        <v>109.25</v>
      </c>
      <c r="C149" t="s">
        <v>255</v>
      </c>
    </row>
    <row r="150" spans="1:3" x14ac:dyDescent="0.2">
      <c r="A150">
        <v>14.75</v>
      </c>
      <c r="B150">
        <v>109.25</v>
      </c>
      <c r="C150" t="s">
        <v>1380</v>
      </c>
    </row>
    <row r="151" spans="1:3" x14ac:dyDescent="0.2">
      <c r="A151">
        <v>15</v>
      </c>
      <c r="B151">
        <v>109</v>
      </c>
      <c r="C151" t="s">
        <v>1380</v>
      </c>
    </row>
    <row r="152" spans="1:3" x14ac:dyDescent="0.2">
      <c r="A152">
        <v>15</v>
      </c>
      <c r="B152">
        <v>109.25</v>
      </c>
      <c r="C152" t="s">
        <v>1380</v>
      </c>
    </row>
    <row r="153" spans="1:3" x14ac:dyDescent="0.2">
      <c r="A153">
        <v>15.25</v>
      </c>
      <c r="B153">
        <v>109</v>
      </c>
      <c r="C153" t="s">
        <v>1380</v>
      </c>
    </row>
    <row r="154" spans="1:3" x14ac:dyDescent="0.2">
      <c r="A154">
        <v>15.25</v>
      </c>
      <c r="B154">
        <v>109.25</v>
      </c>
      <c r="C154" t="s">
        <v>1380</v>
      </c>
    </row>
    <row r="155" spans="1:3" x14ac:dyDescent="0.2">
      <c r="A155">
        <v>15.5</v>
      </c>
      <c r="B155">
        <v>108.75</v>
      </c>
      <c r="C155" t="s">
        <v>510</v>
      </c>
    </row>
    <row r="156" spans="1:3" x14ac:dyDescent="0.2">
      <c r="A156">
        <v>15.5</v>
      </c>
      <c r="B156">
        <v>109</v>
      </c>
      <c r="C156" t="s">
        <v>1380</v>
      </c>
    </row>
    <row r="157" spans="1:3" x14ac:dyDescent="0.2">
      <c r="A157">
        <v>15.5</v>
      </c>
      <c r="B157">
        <v>109.25</v>
      </c>
      <c r="C157" t="s">
        <v>1380</v>
      </c>
    </row>
    <row r="158" spans="1:3" x14ac:dyDescent="0.2">
      <c r="A158">
        <v>15.75</v>
      </c>
      <c r="B158">
        <v>108.5</v>
      </c>
      <c r="C158" t="s">
        <v>510</v>
      </c>
    </row>
    <row r="159" spans="1:3" x14ac:dyDescent="0.2">
      <c r="A159">
        <v>15.75</v>
      </c>
      <c r="B159">
        <v>108.75</v>
      </c>
      <c r="C159" t="s">
        <v>510</v>
      </c>
    </row>
    <row r="160" spans="1:3" x14ac:dyDescent="0.2">
      <c r="A160">
        <v>15.75</v>
      </c>
      <c r="B160">
        <v>109</v>
      </c>
      <c r="C160" t="s">
        <v>1380</v>
      </c>
    </row>
    <row r="161" spans="1:3" x14ac:dyDescent="0.2">
      <c r="A161">
        <v>16</v>
      </c>
      <c r="B161">
        <v>108.5</v>
      </c>
      <c r="C161" t="s">
        <v>510</v>
      </c>
    </row>
    <row r="162" spans="1:3" x14ac:dyDescent="0.2">
      <c r="A162">
        <v>16</v>
      </c>
      <c r="B162">
        <v>108.75</v>
      </c>
      <c r="C162" t="s">
        <v>510</v>
      </c>
    </row>
    <row r="163" spans="1:3" x14ac:dyDescent="0.2">
      <c r="A163">
        <v>16.25</v>
      </c>
      <c r="B163">
        <v>108.25</v>
      </c>
      <c r="C163" t="s">
        <v>2352</v>
      </c>
    </row>
    <row r="164" spans="1:3" x14ac:dyDescent="0.2">
      <c r="A164">
        <v>16.25</v>
      </c>
      <c r="B164">
        <v>108.5</v>
      </c>
      <c r="C164" t="s">
        <v>510</v>
      </c>
    </row>
    <row r="165" spans="1:3" x14ac:dyDescent="0.2">
      <c r="A165">
        <v>16.5</v>
      </c>
      <c r="B165">
        <v>108</v>
      </c>
      <c r="C165" t="s">
        <v>2352</v>
      </c>
    </row>
    <row r="166" spans="1:3" x14ac:dyDescent="0.2">
      <c r="A166">
        <v>16.5</v>
      </c>
      <c r="B166">
        <v>108.25</v>
      </c>
      <c r="C166" t="s">
        <v>2352</v>
      </c>
    </row>
    <row r="167" spans="1:3" x14ac:dyDescent="0.2">
      <c r="A167">
        <v>16.75</v>
      </c>
      <c r="B167">
        <v>107.75</v>
      </c>
      <c r="C167" t="s">
        <v>2352</v>
      </c>
    </row>
    <row r="168" spans="1:3" x14ac:dyDescent="0.2">
      <c r="A168">
        <v>16.75</v>
      </c>
      <c r="B168">
        <v>108</v>
      </c>
      <c r="C168" t="s">
        <v>2352</v>
      </c>
    </row>
    <row r="169" spans="1:3" x14ac:dyDescent="0.2">
      <c r="A169">
        <v>17</v>
      </c>
      <c r="B169">
        <v>107.25</v>
      </c>
      <c r="C169" t="s">
        <v>1855</v>
      </c>
    </row>
    <row r="170" spans="1:3" x14ac:dyDescent="0.2">
      <c r="A170">
        <v>17</v>
      </c>
      <c r="B170">
        <v>107.5</v>
      </c>
      <c r="C170" t="s">
        <v>1855</v>
      </c>
    </row>
    <row r="171" spans="1:3" x14ac:dyDescent="0.2">
      <c r="A171">
        <v>17</v>
      </c>
      <c r="B171">
        <v>107.75</v>
      </c>
      <c r="C171" t="s">
        <v>2352</v>
      </c>
    </row>
    <row r="172" spans="1:3" x14ac:dyDescent="0.2">
      <c r="A172">
        <v>17.25</v>
      </c>
      <c r="B172">
        <v>107</v>
      </c>
      <c r="C172" t="s">
        <v>1855</v>
      </c>
    </row>
    <row r="173" spans="1:3" x14ac:dyDescent="0.2">
      <c r="A173">
        <v>17.25</v>
      </c>
      <c r="B173">
        <v>107.25</v>
      </c>
      <c r="C173" t="s">
        <v>1855</v>
      </c>
    </row>
    <row r="174" spans="1:3" x14ac:dyDescent="0.2">
      <c r="A174">
        <v>17.25</v>
      </c>
      <c r="B174">
        <v>107.5</v>
      </c>
      <c r="C174" t="s">
        <v>1855</v>
      </c>
    </row>
    <row r="175" spans="1:3" x14ac:dyDescent="0.2">
      <c r="A175">
        <v>17.5</v>
      </c>
      <c r="B175">
        <v>106.75</v>
      </c>
      <c r="C175" t="s">
        <v>1855</v>
      </c>
    </row>
    <row r="176" spans="1:3" x14ac:dyDescent="0.2">
      <c r="A176">
        <v>17.5</v>
      </c>
      <c r="B176">
        <v>107</v>
      </c>
      <c r="C176" t="s">
        <v>1855</v>
      </c>
    </row>
    <row r="177" spans="1:3" x14ac:dyDescent="0.2">
      <c r="A177">
        <v>17.5</v>
      </c>
      <c r="B177">
        <v>107.25</v>
      </c>
      <c r="C177" t="s">
        <v>1855</v>
      </c>
    </row>
    <row r="178" spans="1:3" x14ac:dyDescent="0.2">
      <c r="A178">
        <v>17.75</v>
      </c>
      <c r="B178">
        <v>106.5</v>
      </c>
      <c r="C178" t="s">
        <v>1855</v>
      </c>
    </row>
    <row r="179" spans="1:3" x14ac:dyDescent="0.2">
      <c r="A179">
        <v>17.75</v>
      </c>
      <c r="B179">
        <v>106.75</v>
      </c>
      <c r="C179" t="s">
        <v>1855</v>
      </c>
    </row>
    <row r="180" spans="1:3" x14ac:dyDescent="0.2">
      <c r="A180">
        <v>17.75</v>
      </c>
      <c r="B180">
        <v>107</v>
      </c>
      <c r="C180" t="s">
        <v>1855</v>
      </c>
    </row>
    <row r="181" spans="1:3" x14ac:dyDescent="0.2">
      <c r="A181">
        <v>18</v>
      </c>
      <c r="B181">
        <v>106.5</v>
      </c>
      <c r="C181" t="s">
        <v>969</v>
      </c>
    </row>
    <row r="182" spans="1:3" x14ac:dyDescent="0.2">
      <c r="A182">
        <v>18</v>
      </c>
      <c r="B182">
        <v>106.75</v>
      </c>
      <c r="C182" t="s">
        <v>1855</v>
      </c>
    </row>
    <row r="183" spans="1:3" x14ac:dyDescent="0.2">
      <c r="A183">
        <v>18.25</v>
      </c>
      <c r="B183">
        <v>106.25</v>
      </c>
      <c r="C183" t="s">
        <v>969</v>
      </c>
    </row>
    <row r="184" spans="1:3" x14ac:dyDescent="0.2">
      <c r="A184">
        <v>18.25</v>
      </c>
      <c r="B184">
        <v>106.5</v>
      </c>
      <c r="C184" t="s">
        <v>969</v>
      </c>
    </row>
    <row r="185" spans="1:3" x14ac:dyDescent="0.2">
      <c r="A185">
        <v>18.5</v>
      </c>
      <c r="B185">
        <v>106</v>
      </c>
      <c r="C185" t="s">
        <v>969</v>
      </c>
    </row>
    <row r="186" spans="1:3" x14ac:dyDescent="0.2">
      <c r="A186">
        <v>18.5</v>
      </c>
      <c r="B186">
        <v>106.25</v>
      </c>
      <c r="C186" t="s">
        <v>969</v>
      </c>
    </row>
    <row r="187" spans="1:3" x14ac:dyDescent="0.2">
      <c r="A187">
        <v>18.75</v>
      </c>
      <c r="B187">
        <v>106</v>
      </c>
      <c r="C187" t="s">
        <v>969</v>
      </c>
    </row>
    <row r="188" spans="1:3" x14ac:dyDescent="0.2">
      <c r="A188">
        <v>18.75</v>
      </c>
      <c r="B188">
        <v>106.25</v>
      </c>
      <c r="C188" t="s">
        <v>969</v>
      </c>
    </row>
    <row r="189" spans="1:3" x14ac:dyDescent="0.2">
      <c r="A189">
        <v>19</v>
      </c>
      <c r="B189">
        <v>105.75</v>
      </c>
      <c r="C189" t="s">
        <v>1649</v>
      </c>
    </row>
    <row r="190" spans="1:3" x14ac:dyDescent="0.2">
      <c r="A190">
        <v>19</v>
      </c>
      <c r="B190">
        <v>106</v>
      </c>
      <c r="C190" t="s">
        <v>1649</v>
      </c>
    </row>
    <row r="191" spans="1:3" x14ac:dyDescent="0.2">
      <c r="A191">
        <v>19.25</v>
      </c>
      <c r="B191">
        <v>106</v>
      </c>
      <c r="C191" t="s">
        <v>2249</v>
      </c>
    </row>
    <row r="192" spans="1:3" x14ac:dyDescent="0.2">
      <c r="A192">
        <v>19.5</v>
      </c>
      <c r="B192">
        <v>106</v>
      </c>
      <c r="C192" t="s">
        <v>2249</v>
      </c>
    </row>
    <row r="193" spans="1:3" x14ac:dyDescent="0.2">
      <c r="A193">
        <v>19.5</v>
      </c>
      <c r="B193">
        <v>106.25</v>
      </c>
      <c r="C193" t="s">
        <v>844</v>
      </c>
    </row>
    <row r="194" spans="1:3" x14ac:dyDescent="0.2">
      <c r="A194">
        <v>19.75</v>
      </c>
      <c r="B194">
        <v>106</v>
      </c>
      <c r="C194" t="s">
        <v>2249</v>
      </c>
    </row>
    <row r="195" spans="1:3" x14ac:dyDescent="0.2">
      <c r="A195">
        <v>19.75</v>
      </c>
      <c r="B195">
        <v>106.25</v>
      </c>
      <c r="C195" t="s">
        <v>844</v>
      </c>
    </row>
    <row r="196" spans="1:3" x14ac:dyDescent="0.2">
      <c r="A196">
        <v>19.75</v>
      </c>
      <c r="B196">
        <v>106.5</v>
      </c>
      <c r="C196" t="s">
        <v>844</v>
      </c>
    </row>
    <row r="197" spans="1:3" x14ac:dyDescent="0.2">
      <c r="A197">
        <v>20</v>
      </c>
      <c r="B197">
        <v>106.25</v>
      </c>
      <c r="C197" t="s">
        <v>844</v>
      </c>
    </row>
    <row r="198" spans="1:3" x14ac:dyDescent="0.2">
      <c r="A198">
        <v>20</v>
      </c>
      <c r="B198">
        <v>106.5</v>
      </c>
      <c r="C198" t="s">
        <v>844</v>
      </c>
    </row>
    <row r="199" spans="1:3" x14ac:dyDescent="0.2">
      <c r="A199">
        <v>20</v>
      </c>
      <c r="B199">
        <v>106.75</v>
      </c>
      <c r="C199" t="s">
        <v>844</v>
      </c>
    </row>
    <row r="200" spans="1:3" x14ac:dyDescent="0.2">
      <c r="A200">
        <v>20.25</v>
      </c>
      <c r="B200">
        <v>106.75</v>
      </c>
      <c r="C200" t="s">
        <v>1261</v>
      </c>
    </row>
    <row r="201" spans="1:3" x14ac:dyDescent="0.2">
      <c r="A201">
        <v>20.25</v>
      </c>
      <c r="B201">
        <v>107</v>
      </c>
      <c r="C201" t="s">
        <v>1261</v>
      </c>
    </row>
    <row r="202" spans="1:3" x14ac:dyDescent="0.2">
      <c r="A202">
        <v>20.5</v>
      </c>
      <c r="B202">
        <v>106.75</v>
      </c>
      <c r="C202" t="s">
        <v>1261</v>
      </c>
    </row>
    <row r="203" spans="1:3" x14ac:dyDescent="0.2">
      <c r="A203">
        <v>20.5</v>
      </c>
      <c r="B203">
        <v>107</v>
      </c>
      <c r="C203" t="s">
        <v>1019</v>
      </c>
    </row>
    <row r="204" spans="1:3" x14ac:dyDescent="0.2">
      <c r="A204">
        <v>20.5</v>
      </c>
      <c r="B204">
        <v>107.25</v>
      </c>
      <c r="C204" t="s">
        <v>1019</v>
      </c>
    </row>
    <row r="205" spans="1:3" x14ac:dyDescent="0.2">
      <c r="A205">
        <v>20.75</v>
      </c>
      <c r="B205">
        <v>107.25</v>
      </c>
      <c r="C205" t="s">
        <v>1869</v>
      </c>
    </row>
    <row r="206" spans="1:3" x14ac:dyDescent="0.2">
      <c r="A206">
        <v>20.75</v>
      </c>
      <c r="B206">
        <v>107.5</v>
      </c>
      <c r="C206" t="s">
        <v>1869</v>
      </c>
    </row>
    <row r="207" spans="1:3" x14ac:dyDescent="0.2">
      <c r="A207">
        <v>20.75</v>
      </c>
      <c r="B207">
        <v>107.75</v>
      </c>
      <c r="C207" t="s">
        <v>1869</v>
      </c>
    </row>
    <row r="208" spans="1:3" x14ac:dyDescent="0.2">
      <c r="A208">
        <v>21</v>
      </c>
      <c r="B208">
        <v>108</v>
      </c>
      <c r="C208" t="s">
        <v>1869</v>
      </c>
    </row>
    <row r="209" spans="1:3" x14ac:dyDescent="0.2">
      <c r="A209">
        <v>21.25</v>
      </c>
      <c r="B209">
        <v>107.75</v>
      </c>
      <c r="C209" t="s">
        <v>1869</v>
      </c>
    </row>
    <row r="210" spans="1:3" x14ac:dyDescent="0.2">
      <c r="A210">
        <v>21.25</v>
      </c>
      <c r="B210">
        <v>108</v>
      </c>
      <c r="C210" t="s">
        <v>1869</v>
      </c>
    </row>
    <row r="211" spans="1:3" x14ac:dyDescent="0.2">
      <c r="A211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centroids</vt:lpstr>
      <vt:lpstr>land_coordinates</vt:lpstr>
      <vt:lpstr>sea_coordinates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Thành</cp:lastModifiedBy>
  <dcterms:modified xsi:type="dcterms:W3CDTF">2026-03-06T16:01:44Z</dcterms:modified>
</cp:coreProperties>
</file>